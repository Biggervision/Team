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📝 Weekly Tracker" sheetId="1" state="visible" r:id="rId3"/>
    <sheet name="⚙️ Settings" sheetId="2" state="visible" r:id="rId4"/>
    <sheet name="📅 Daily Tracker" sheetId="3" state="visible" r:id="rId5"/>
    <sheet name="📈 Weekly Review" sheetId="4" state="visible" r:id="rId6"/>
    <sheet name="🗓️ Monthly Tracker" sheetId="5" state="visible" r:id="rId7"/>
    <sheet name="🎯 Annual Tracker" sheetId="6" state="visible" r:id="rId8"/>
    <sheet name="📊 Dashboard" sheetId="7" state="visible" r:id="rId9"/>
    <sheet name="📖 Start Her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7" authorId="0">
      <text>
        <r>
          <rPr>
            <sz val="10"/>
            <rFont val="Arial"/>
            <family val="2"/>
          </rPr>
          <t xml:space="preserve">Type a custom category name (e.g. Content Creation) + weekly hours. It flows into every tracker automatically.</t>
        </r>
      </text>
    </comment>
    <comment ref="D8" authorId="0">
      <text>
        <r>
          <rPr>
            <sz val="10"/>
            <rFont val="Arial"/>
            <family val="2"/>
          </rPr>
          <t xml:space="preserve">Executive convention: 4 weeks/month, 52 weeks/year (matches the reference sheet). For calendar-accurate maths change to 4.345 and 52.18.</t>
        </r>
      </text>
    </comment>
  </commentList>
</comments>
</file>

<file path=xl/sharedStrings.xml><?xml version="1.0" encoding="utf-8"?>
<sst xmlns="http://schemas.openxmlformats.org/spreadsheetml/2006/main" count="381" uniqueCount="280">
  <si>
    <t xml:space="preserve">📝 Weekly Tracker — plan your 168 hours</t>
  </si>
  <si>
    <t xml:space="preserve">Only edit the LIGHT-BLUE cells. Every other number updates automatically — here, on the Dashboard and in every tracker.</t>
  </si>
  <si>
    <t xml:space="preserve">  😴  SLEEP</t>
  </si>
  <si>
    <t xml:space="preserve">I sleep for around</t>
  </si>
  <si>
    <t xml:space="preserve">hours per night.</t>
  </si>
  <si>
    <t xml:space="preserve">This means I spend</t>
  </si>
  <si>
    <t xml:space="preserve">hours per week sleeping.</t>
  </si>
  <si>
    <t xml:space="preserve">I wind down for</t>
  </si>
  <si>
    <t xml:space="preserve">minutes before sleeping.</t>
  </si>
  <si>
    <t xml:space="preserve">hours per week preparing to sleep.</t>
  </si>
  <si>
    <t xml:space="preserve">My wake-up routine takes</t>
  </si>
  <si>
    <t xml:space="preserve">minutes each morning.</t>
  </si>
  <si>
    <t xml:space="preserve">hours per week waking up.</t>
  </si>
  <si>
    <t xml:space="preserve">😴 In total, I spend</t>
  </si>
  <si>
    <t xml:space="preserve">hours per week on sleep-related things.</t>
  </si>
  <si>
    <t xml:space="preserve">✅ That leaves me with</t>
  </si>
  <si>
    <t xml:space="preserve">hours per week for everything else.</t>
  </si>
  <si>
    <t xml:space="preserve">  💻  WORK</t>
  </si>
  <si>
    <t xml:space="preserve">I work for around</t>
  </si>
  <si>
    <t xml:space="preserve">hours per day (excluding lunch break).</t>
  </si>
  <si>
    <t xml:space="preserve">I work</t>
  </si>
  <si>
    <t xml:space="preserve">days per week.</t>
  </si>
  <si>
    <t xml:space="preserve">hours per week officially working.</t>
  </si>
  <si>
    <t xml:space="preserve">My lunch break is</t>
  </si>
  <si>
    <t xml:space="preserve">minutes per working day.</t>
  </si>
  <si>
    <t xml:space="preserve">hours per week on my lunch break.</t>
  </si>
  <si>
    <t xml:space="preserve">My commute is</t>
  </si>
  <si>
    <t xml:space="preserve">minutes each way.</t>
  </si>
  <si>
    <t xml:space="preserve">hours per week commuting.</t>
  </si>
  <si>
    <t xml:space="preserve">I spend</t>
  </si>
  <si>
    <t xml:space="preserve">minutes per day getting ready for work.</t>
  </si>
  <si>
    <t xml:space="preserve">hours per week getting ready for work.</t>
  </si>
  <si>
    <t xml:space="preserve">minutes per day getting changed after work.</t>
  </si>
  <si>
    <t xml:space="preserve">hours per week getting changed after work.</t>
  </si>
  <si>
    <t xml:space="preserve">… of which meetings take</t>
  </si>
  <si>
    <t xml:space="preserve">hours per week.</t>
  </si>
  <si>
    <t xml:space="preserve">already inside your working hours — not added again</t>
  </si>
  <si>
    <t xml:space="preserve">… and deep work takes</t>
  </si>
  <si>
    <t xml:space="preserve">💻 In total, I spend</t>
  </si>
  <si>
    <t xml:space="preserve">hours per week working.</t>
  </si>
  <si>
    <t xml:space="preserve">  🍕  FOOD</t>
  </si>
  <si>
    <t xml:space="preserve">Each day, I spend around</t>
  </si>
  <si>
    <t xml:space="preserve">minutes eating breakfast.</t>
  </si>
  <si>
    <t xml:space="preserve">And another</t>
  </si>
  <si>
    <t xml:space="preserve">minutes preparing/cooking/ordering it.</t>
  </si>
  <si>
    <t xml:space="preserve">Which means I spend</t>
  </si>
  <si>
    <t xml:space="preserve">hours per week on breakfast.</t>
  </si>
  <si>
    <t xml:space="preserve">Each non-work day, I spend</t>
  </si>
  <si>
    <t xml:space="preserve">minutes eating lunch.</t>
  </si>
  <si>
    <t xml:space="preserve">hours per week on lunch (excluding work days).</t>
  </si>
  <si>
    <t xml:space="preserve">minutes eating dinner.</t>
  </si>
  <si>
    <t xml:space="preserve">hours per week on dinner.</t>
  </si>
  <si>
    <t xml:space="preserve">🍕 In total, I spend</t>
  </si>
  <si>
    <t xml:space="preserve">hours per week on cooking +/- eating food.</t>
  </si>
  <si>
    <t xml:space="preserve">  🧹  HOUSEHOLD CHORES</t>
  </si>
  <si>
    <t xml:space="preserve">I do the groceries</t>
  </si>
  <si>
    <t xml:space="preserve">times per week.</t>
  </si>
  <si>
    <t xml:space="preserve">Each grocery session takes</t>
  </si>
  <si>
    <t xml:space="preserve">minutes (including travel, loading, unloading etc).</t>
  </si>
  <si>
    <t xml:space="preserve">hours per week on groceries.</t>
  </si>
  <si>
    <t xml:space="preserve">I clean the house approx.</t>
  </si>
  <si>
    <t xml:space="preserve">Each cleaning session takes</t>
  </si>
  <si>
    <t xml:space="preserve">minutes.</t>
  </si>
  <si>
    <t xml:space="preserve">hours per week on cleaning.</t>
  </si>
  <si>
    <t xml:space="preserve">I do laundry</t>
  </si>
  <si>
    <t xml:space="preserve">Each laundry session takes me</t>
  </si>
  <si>
    <t xml:space="preserve">hours per week on laundry.</t>
  </si>
  <si>
    <t xml:space="preserve">I do other misc. chores</t>
  </si>
  <si>
    <t xml:space="preserve">hour(s) per week.</t>
  </si>
  <si>
    <t xml:space="preserve">hours per week on misc. chores.</t>
  </si>
  <si>
    <t xml:space="preserve">🧹 In total, I spend</t>
  </si>
  <si>
    <t xml:space="preserve">hours per week on chores.</t>
  </si>
  <si>
    <t xml:space="preserve">  👶  CHILDCARE</t>
  </si>
  <si>
    <t xml:space="preserve">Each weekday, I spend</t>
  </si>
  <si>
    <t xml:space="preserve">hours actively taking care of my child(ren).</t>
  </si>
  <si>
    <t xml:space="preserve">hours on weekdays on childcare.</t>
  </si>
  <si>
    <t xml:space="preserve">Each weekend day, I spend</t>
  </si>
  <si>
    <t xml:space="preserve">hours on weekends on childcare.</t>
  </si>
  <si>
    <t xml:space="preserve">Each week, I spend</t>
  </si>
  <si>
    <t xml:space="preserve">hours on child admin &amp; logistics etc.</t>
  </si>
  <si>
    <t xml:space="preserve">hours per week on child admin.</t>
  </si>
  <si>
    <t xml:space="preserve">hours on other child-themed stuff.</t>
  </si>
  <si>
    <t xml:space="preserve">hours per week on other child time.</t>
  </si>
  <si>
    <t xml:space="preserve">👶 In total, I spend</t>
  </si>
  <si>
    <t xml:space="preserve">hours per week on childcare.</t>
  </si>
  <si>
    <t xml:space="preserve">  🏋️  FITNESS</t>
  </si>
  <si>
    <t xml:space="preserve">hours exercising (including commute time).</t>
  </si>
  <si>
    <t xml:space="preserve">hours per week exercising.</t>
  </si>
  <si>
    <t xml:space="preserve">hours on other fitness-related things.</t>
  </si>
  <si>
    <t xml:space="preserve">hours per week on other fitness things.</t>
  </si>
  <si>
    <t xml:space="preserve">🏋️ In total, I spend</t>
  </si>
  <si>
    <t xml:space="preserve">hours per week on fitness-related stuff.</t>
  </si>
  <si>
    <t xml:space="preserve">  📺  ENTERTAINMENT</t>
  </si>
  <si>
    <t xml:space="preserve">hours watching TV shows / movies.</t>
  </si>
  <si>
    <t xml:space="preserve">hours per week on TV / movies.</t>
  </si>
  <si>
    <t xml:space="preserve">hours on social media apps.</t>
  </si>
  <si>
    <t xml:space="preserve">hours per week on social media.</t>
  </si>
  <si>
    <t xml:space="preserve">hours reading.</t>
  </si>
  <si>
    <t xml:space="preserve">hours per week reading.</t>
  </si>
  <si>
    <t xml:space="preserve">hours gaming.</t>
  </si>
  <si>
    <t xml:space="preserve">hours per week gaming.</t>
  </si>
  <si>
    <t xml:space="preserve">hours on other "entertainment" stuff.</t>
  </si>
  <si>
    <t xml:space="preserve">hours per week on other entertainment.</t>
  </si>
  <si>
    <t xml:space="preserve">📺 In total, I spend</t>
  </si>
  <si>
    <t xml:space="preserve">hours per week on entertainment.</t>
  </si>
  <si>
    <t xml:space="preserve">  👨‍👩‍👧  RELATIONSHIPS</t>
  </si>
  <si>
    <t xml:space="preserve">hours on quality family time.</t>
  </si>
  <si>
    <t xml:space="preserve">hours per week on family time.</t>
  </si>
  <si>
    <t xml:space="preserve">hours on other socialising time.</t>
  </si>
  <si>
    <t xml:space="preserve">hours per week socialising.</t>
  </si>
  <si>
    <t xml:space="preserve">👨‍👩‍👧 In total, I spend</t>
  </si>
  <si>
    <t xml:space="preserve">hours per week on relationships.</t>
  </si>
  <si>
    <t xml:space="preserve">  📚  LEARNING</t>
  </si>
  <si>
    <t xml:space="preserve">hours on courses &amp; structured learning.</t>
  </si>
  <si>
    <t xml:space="preserve">hours per week on courses.</t>
  </si>
  <si>
    <t xml:space="preserve">hours on books, articles &amp; study.</t>
  </si>
  <si>
    <t xml:space="preserve">hours per week studying.</t>
  </si>
  <si>
    <t xml:space="preserve">Each day, I listen to</t>
  </si>
  <si>
    <t xml:space="preserve">minutes of podcasts / audiobooks.</t>
  </si>
  <si>
    <t xml:space="preserve">hours per week on podcasts.</t>
  </si>
  <si>
    <t xml:space="preserve">📚 In total, I spend</t>
  </si>
  <si>
    <t xml:space="preserve">hours per week on learning.</t>
  </si>
  <si>
    <t xml:space="preserve">  🌱  PERSONAL DEVELOPMENT</t>
  </si>
  <si>
    <t xml:space="preserve">Each day, I journal for</t>
  </si>
  <si>
    <t xml:space="preserve">hours per week journaling.</t>
  </si>
  <si>
    <t xml:space="preserve">Each day, I meditate for</t>
  </si>
  <si>
    <t xml:space="preserve">hours per week meditating.</t>
  </si>
  <si>
    <t xml:space="preserve">hours on planning &amp; weekly review.</t>
  </si>
  <si>
    <t xml:space="preserve">hours per week planning.</t>
  </si>
  <si>
    <t xml:space="preserve">🌱 In total, I spend</t>
  </si>
  <si>
    <t xml:space="preserve">hours per week on personal development.</t>
  </si>
  <si>
    <t xml:space="preserve">  🙏  SPIRITUAL</t>
  </si>
  <si>
    <t xml:space="preserve">Each day, I spend</t>
  </si>
  <si>
    <t xml:space="preserve">minutes on spiritual practice.</t>
  </si>
  <si>
    <t xml:space="preserve">hours per week on daily practice.</t>
  </si>
  <si>
    <t xml:space="preserve">hours on services &amp; community.</t>
  </si>
  <si>
    <t xml:space="preserve">hours per week on services.</t>
  </si>
  <si>
    <t xml:space="preserve">🙏 In total, I spend</t>
  </si>
  <si>
    <t xml:space="preserve">hours per week on spiritual life.</t>
  </si>
  <si>
    <t xml:space="preserve">  🚗  TRAVEL</t>
  </si>
  <si>
    <t xml:space="preserve">hours on errands &amp; getting around (non-commute).</t>
  </si>
  <si>
    <t xml:space="preserve">hours per week on errands &amp; travel.</t>
  </si>
  <si>
    <t xml:space="preserve">hours on trips &amp; other travel.</t>
  </si>
  <si>
    <t xml:space="preserve">hours per week on trips.</t>
  </si>
  <si>
    <t xml:space="preserve">🚗 In total, I spend</t>
  </si>
  <si>
    <t xml:space="preserve">hours per week travelling.</t>
  </si>
  <si>
    <t xml:space="preserve">  🗂️  ADMIN</t>
  </si>
  <si>
    <t xml:space="preserve">hours on finances, email &amp; life admin.</t>
  </si>
  <si>
    <t xml:space="preserve">hours per week on life admin.</t>
  </si>
  <si>
    <t xml:space="preserve">minutes on appointments &amp; paperwork.</t>
  </si>
  <si>
    <t xml:space="preserve">hours per week on paperwork.</t>
  </si>
  <si>
    <t xml:space="preserve">🗂️ In total, I spend</t>
  </si>
  <si>
    <t xml:space="preserve">hours per week on admin.</t>
  </si>
  <si>
    <t xml:space="preserve">⚙️ Settings — master data</t>
  </si>
  <si>
    <t xml:space="preserve">One source of truth. Add your own categories in the light-blue rows — every tracker and the Dashboard pick them up automatically.</t>
  </si>
  <si>
    <t xml:space="preserve">  ⏱️  CONSTANTS</t>
  </si>
  <si>
    <t xml:space="preserve">Hours per day</t>
  </si>
  <si>
    <t xml:space="preserve">Hours per week</t>
  </si>
  <si>
    <t xml:space="preserve">Weeks per month</t>
  </si>
  <si>
    <t xml:space="preserve">Weeks per year</t>
  </si>
  <si>
    <t xml:space="preserve">  🗂️  MASTER CATEGORY TABLE</t>
  </si>
  <si>
    <t xml:space="preserve">Category</t>
  </si>
  <si>
    <t xml:space="preserve">Hours / wk</t>
  </si>
  <si>
    <t xml:space="preserve">% of week</t>
  </si>
  <si>
    <t xml:space="preserve">Per day</t>
  </si>
  <si>
    <t xml:space="preserve">Productive</t>
  </si>
  <si>
    <t xml:space="preserve">Min h/wk</t>
  </si>
  <si>
    <t xml:space="preserve">Max h/wk</t>
  </si>
  <si>
    <t xml:space="preserve">Status</t>
  </si>
  <si>
    <t xml:space="preserve">😴</t>
  </si>
  <si>
    <t xml:space="preserve">Sleep</t>
  </si>
  <si>
    <t xml:space="preserve">💻</t>
  </si>
  <si>
    <t xml:space="preserve">Work</t>
  </si>
  <si>
    <t xml:space="preserve">🍕</t>
  </si>
  <si>
    <t xml:space="preserve">Food</t>
  </si>
  <si>
    <t xml:space="preserve">🧹</t>
  </si>
  <si>
    <t xml:space="preserve">Household Chores</t>
  </si>
  <si>
    <t xml:space="preserve">👶</t>
  </si>
  <si>
    <t xml:space="preserve">Childcare</t>
  </si>
  <si>
    <t xml:space="preserve">🏋️</t>
  </si>
  <si>
    <t xml:space="preserve">Fitness</t>
  </si>
  <si>
    <t xml:space="preserve">📺</t>
  </si>
  <si>
    <t xml:space="preserve">Entertainment</t>
  </si>
  <si>
    <t xml:space="preserve">👨‍👩‍👧</t>
  </si>
  <si>
    <t xml:space="preserve">Relationships</t>
  </si>
  <si>
    <t xml:space="preserve">📚</t>
  </si>
  <si>
    <t xml:space="preserve">Learning</t>
  </si>
  <si>
    <t xml:space="preserve">🌱</t>
  </si>
  <si>
    <t xml:space="preserve">Personal Development</t>
  </si>
  <si>
    <t xml:space="preserve">🙏</t>
  </si>
  <si>
    <t xml:space="preserve">Spiritual</t>
  </si>
  <si>
    <t xml:space="preserve">🚗</t>
  </si>
  <si>
    <t xml:space="preserve">Travel</t>
  </si>
  <si>
    <t xml:space="preserve">🗂️</t>
  </si>
  <si>
    <t xml:space="preserve">Admin</t>
  </si>
  <si>
    <t xml:space="preserve">Total allocated</t>
  </si>
  <si>
    <t xml:space="preserve">Free time (168 − allocated)</t>
  </si>
  <si>
    <t xml:space="preserve">Productive hours</t>
  </si>
  <si>
    <t xml:space="preserve">📅 Daily Tracker — log what actually happened</t>
  </si>
  <si>
    <t xml:space="preserve">Type real hours in the light-blue grid. Categories flow in from ⚙️ Settings automatically.</t>
  </si>
  <si>
    <t xml:space="preserve">Plan/day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</si>
  <si>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</si>
  <si>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</si>
  <si>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</si>
  <si>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</si>
  <si>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</si>
  <si>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</si>
  <si>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</si>
  <si>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</t>
  </si>
  <si>
    <t xml:space="preserve">vs plan</t>
  </si>
  <si>
    <t xml:space="preserve">Hours logged</t>
  </si>
  <si>
    <t xml:space="preserve">Unlogged (24 − logged)</t>
  </si>
  <si>
    <t xml:space="preserve">📈 Weekly Review — planned vs actual</t>
  </si>
  <si>
    <t xml:space="preserve">Planned comes from 📝 Weekly Tracker; actual from 📅 Daily Tracker. Nothing to type here.</t>
  </si>
  <si>
    <t xml:space="preserve">Planned</t>
  </si>
  <si>
    <t xml:space="preserve">Actual</t>
  </si>
  <si>
    <t xml:space="preserve">Diff</t>
  </si>
  <si>
    <t xml:space="preserve">% of plan</t>
  </si>
  <si>
    <t xml:space="preserve">Total allocated / logged</t>
  </si>
  <si>
    <t xml:space="preserve">Free / remaining hours</t>
  </si>
  <si>
    <t xml:space="preserve">Utilization</t>
  </si>
  <si>
    <t xml:space="preserve">🗓️ Monthly Tracker — the month, projected</t>
  </si>
  <si>
    <t xml:space="preserve">Weekly plan × 4 weeks (change the constant on ⚙️ Settings). Actuals extrapolate the current week.</t>
  </si>
  <si>
    <t xml:space="preserve">Weekly plan</t>
  </si>
  <si>
    <t xml:space="preserve">Monthly plan</t>
  </si>
  <si>
    <t xml:space="preserve">Monthly actual*</t>
  </si>
  <si>
    <t xml:space="preserve">Variance</t>
  </si>
  <si>
    <t xml:space="preserve">% of month</t>
  </si>
  <si>
    <t xml:space="preserve">Total</t>
  </si>
  <si>
    <t xml:space="preserve">Free time per month</t>
  </si>
  <si>
    <t xml:space="preserve">* extrapolates the current Daily Tracker week across the month.</t>
  </si>
  <si>
    <t xml:space="preserve">🎯 Annual Tracker — a year of this plan</t>
  </si>
  <si>
    <t xml:space="preserve">Weekly plan × 52 weeks. This is where small weekly numbers become life-sized.</t>
  </si>
  <si>
    <t xml:space="preserve">Weekly h</t>
  </si>
  <si>
    <t xml:space="preserve">Annual hours</t>
  </si>
  <si>
    <t xml:space="preserve">Annual days</t>
  </si>
  <si>
    <t xml:space="preserve">Annual weeks</t>
  </si>
  <si>
    <t xml:space="preserve">% of year</t>
  </si>
  <si>
    <t xml:space="preserve">  💡  PERSPECTIVE</t>
  </si>
  <si>
    <t xml:space="preserve">👉  Current Week:
How do you spend your 168 hours of the week at the moment?</t>
  </si>
  <si>
    <t xml:space="preserve">💬 WEEKLY</t>
  </si>
  <si>
    <t xml:space="preserve">📆 MONTHLY</t>
  </si>
  <si>
    <t xml:space="preserve">🎉 ANNUALLY</t>
  </si>
  <si>
    <t xml:space="preserve">⌛ HOURS USED</t>
  </si>
  <si>
    <t xml:space="preserve">⌛ HOURS FREE</t>
  </si>
  <si>
    <t xml:space="preserve">LIFE AREA</t>
  </si>
  <si>
    <t xml:space="preserve">HOURS</t>
  </si>
  <si>
    <t xml:space="preserve">✅  Free Time</t>
  </si>
  <si>
    <t xml:space="preserve">  🚦  SIGNALS</t>
  </si>
  <si>
    <t xml:space="preserve">  🔭  HORIZONS</t>
  </si>
  <si>
    <t xml:space="preserve">Weekly</t>
  </si>
  <si>
    <t xml:space="preserve">Monthly</t>
  </si>
  <si>
    <t xml:space="preserve">Yearly</t>
  </si>
  <si>
    <t xml:space="preserve">❌  Total Non-Free Time</t>
  </si>
  <si>
    <t xml:space="preserve">Hours used</t>
  </si>
  <si>
    <t xml:space="preserve">Free time</t>
  </si>
  <si>
    <t xml:space="preserve">🎯 BALANCE SCORE</t>
  </si>
  <si>
    <t xml:space="preserve">⚡ UTILIZATION</t>
  </si>
  <si>
    <t xml:space="preserve">💼 PRODUCTIVE</t>
  </si>
  <si>
    <t xml:space="preserve">out of 100</t>
  </si>
  <si>
    <t xml:space="preserve">of your 168 hours</t>
  </si>
  <si>
    <t xml:space="preserve">productive h / week</t>
  </si>
  <si>
    <t xml:space="preserve">📖 Start Here — how to run your 168 hours</t>
  </si>
  <si>
    <t xml:space="preserve">  🧭  THE IDEA</t>
  </si>
  <si>
    <t xml:space="preserve">Everyone gets exactly 24 hours a day and 168 hours a week. This workbook treats those 168 hours like a budget: you allocate them on 📝 Weekly Tracker, log reality on 📅 Daily Tracker, and everything reconciles automatically.</t>
  </si>
  <si>
    <t xml:space="preserve">  ✏️  RULE #1 — ONLY EDIT LIGHT-BLUE CELLS</t>
  </si>
  <si>
    <t xml:space="preserve">Every editable cell has a light-blue background. Everything else is a formula — you never need to touch it.</t>
  </si>
  <si>
    <t xml:space="preserve">  🚀  GETTING STARTED (10 MINUTES)</t>
  </si>
  <si>
    <t xml:space="preserve">1.  Go to 📝 Weekly Tracker and answer the guided sentences (blue cells). The sheet already contains realistic example values — replace them with yours.</t>
  </si>
  <si>
    <t xml:space="preserve">2.  Watch 📊 Dashboard — HOURS USED / HOURS FREE, the charts and the Signals update live.</t>
  </si>
  <si>
    <t xml:space="preserve">3.  During the week, log real hours on 📅 Daily Tracker.</t>
  </si>
  <si>
    <t xml:space="preserve">4.  Review 📈 Weekly Review at week end: planned vs actual, and where the gap is.</t>
  </si>
  <si>
    <t xml:space="preserve">  ➕  ADDING A CUSTOM CATEGORY</t>
  </si>
  <si>
    <t xml:space="preserve">Open ⚙️ Settings, find the light-blue rows at the bottom of the Master Category Table, and type an emoji, a name and weekly hours. It appears in every tracker and the Dashboard automatically.</t>
  </si>
  <si>
    <t xml:space="preserve">  🎯  BALANCE SCORE</t>
  </si>
  <si>
    <t xml:space="preserve">A 0–100 gauge of how humane the week is: sleep 49–63 h, work ≤ 55 h, fitness ≥ 3 h, relationships ≥ 3 h, learning + personal development ≥ 2 h, free time ≥ 5 h, nothing over-allocated. 80+ = sustainable.</t>
  </si>
  <si>
    <t xml:space="preserve">  🔁  A NEW WEEK</t>
  </si>
  <si>
    <t xml:space="preserve">Select the light-blue grid on 📅 Daily Tracker and press Delete. Your plan stays.</t>
  </si>
  <si>
    <t xml:space="preserve">  📐  ASSUMPTIONS</t>
  </si>
  <si>
    <t xml:space="preserve">Monthly = weekly × 4, yearly = weekly × 52 (the reference sheet's convention). Both constants are editable on ⚙️ Settings — use 4.345 / 52.18 for calendar-accurate maths. Default input values reproduce the reference screenshots (166.1 h used, 1.9 h free).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</si>
</sst>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##"/>
    <numFmt numFmtId="166" formatCode="0.0"/>
    <numFmt numFmtId="167" formatCode="0"/>
    <numFmt numFmtId="168" formatCode="0.###"/>
    <numFmt numFmtId="169" formatCode="0.0%"/>
    <numFmt numFmtId="170" formatCode="General"/>
    <numFmt numFmtId="171" formatCode="0.00"/>
    <numFmt numFmtId="172" formatCode="0.0#"/>
    <numFmt numFmtId="173" formatCode="0%"/>
    <numFmt numFmtId="174" formatCode="#,##0"/>
    <numFmt numFmtId="175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5B6B7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5B6B7C"/>
      <name val="Arial"/>
      <family val="0"/>
      <charset val="1"/>
    </font>
    <font>
      <b val="true"/>
      <sz val="10"/>
      <color rgb="FF2E9E4F"/>
      <name val="Arial"/>
      <family val="0"/>
      <charset val="1"/>
    </font>
    <font>
      <i val="true"/>
      <sz val="8"/>
      <color rgb="FF5B6B7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  <font>
      <b val="true"/>
      <sz val="13"/>
      <color rgb="FF1F2937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B5AE"/>
        <bgColor rgb="FF4BACC6"/>
      </patternFill>
    </fill>
    <fill>
      <patternFill patternType="solid">
        <fgColor rgb="FFDDEBF7"/>
        <bgColor rgb="FFF3F6F9"/>
      </patternFill>
    </fill>
    <fill>
      <patternFill patternType="solid">
        <fgColor rgb="FFA9C7E7"/>
        <bgColor rgb="FF9DC3E6"/>
      </patternFill>
    </fill>
    <fill>
      <patternFill patternType="solid">
        <fgColor rgb="FFF3F6F9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 diagonalUp="false" diagonalDown="false">
      <left/>
      <right/>
      <top style="thin">
        <color rgb="FF2BB5AE"/>
      </top>
      <bottom/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B7791F"/>
        <sz val="10"/>
      </font>
      <fill>
        <patternFill>
          <bgColor rgb="FFFCEFC7"/>
        </patternFill>
      </fill>
    </dxf>
    <dxf>
      <font>
        <name val="Arial"/>
        <charset val="1"/>
        <family val="0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color rgb="FFB7791F"/>
        <sz val="10"/>
      </font>
      <fill>
        <patternFill>
          <bgColor rgb="FFFCEFC7"/>
        </patternFill>
      </fill>
    </dxf>
    <dxf>
      <font>
        <name val="Arial"/>
        <charset val="1"/>
        <family val="0"/>
        <b val="1"/>
        <color rgb="FF2E9E4F"/>
        <sz val="20"/>
      </font>
    </dxf>
    <dxf>
      <font>
        <name val="Arial"/>
        <charset val="1"/>
        <family val="0"/>
        <b val="1"/>
        <color rgb="FFC0392B"/>
        <sz val="2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64A2"/>
      <rgbColor rgb="FF17817B"/>
      <rgbColor rgb="FFB7B7B7"/>
      <rgbColor rgb="FF878787"/>
      <rgbColor rgb="FFAABAD7"/>
      <rgbColor rgb="FF9F423F"/>
      <rgbColor rgb="FFFCEFC7"/>
      <rgbColor rgb="FFDDEBF7"/>
      <rgbColor rgb="FF660066"/>
      <rgbColor rgb="FFF79646"/>
      <rgbColor rgb="FF4F81BD"/>
      <rgbColor rgb="FFBFC9D4"/>
      <rgbColor rgb="FF000080"/>
      <rgbColor rgb="FFFF00FF"/>
      <rgbColor rgb="FFFFFF00"/>
      <rgbColor rgb="FF00FFFF"/>
      <rgbColor rgb="FF800080"/>
      <rgbColor rgb="FF800000"/>
      <rgbColor rgb="FF3E8EA4"/>
      <rgbColor rgb="FF0000FF"/>
      <rgbColor rgb="FF4BACC6"/>
      <rgbColor rgb="FFF3F6F9"/>
      <rgbColor rgb="FFF9F9F9"/>
      <rgbColor rgb="FFD9D9D9"/>
      <rgbColor rgb="FF9DC3E6"/>
      <rgbColor rgb="FFD8AAA9"/>
      <rgbColor rgb="FFA9C7E7"/>
      <rgbColor rgb="FFFADBD8"/>
      <rgbColor rgb="FF416A9C"/>
      <rgbColor rgb="FF2BB5AE"/>
      <rgbColor rgb="FF9BBB59"/>
      <rgbColor rgb="FFFFCC00"/>
      <rgbColor rgb="FFF6A21D"/>
      <rgbColor rgb="FFCC7C3A"/>
      <rgbColor rgb="FF5B6B7C"/>
      <rgbColor rgb="FF809B49"/>
      <rgbColor rgb="FF003366"/>
      <rgbColor rgb="FF2E9E4F"/>
      <rgbColor rgb="FF003300"/>
      <rgbColor rgb="FF333300"/>
      <rgbColor rgb="FFC0392B"/>
      <rgbColor rgb="FFC0504D"/>
      <rgbColor rgb="FF6A528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What does my time split look like by %?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Dashboard'!M7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16a9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f423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09b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6a528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3e8ea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cc7c3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1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2"/>
            <c:spPr>
              <a:solidFill>
                <a:srgbClr val="aabad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3"/>
            <c:spPr>
              <a:solidFill>
                <a:srgbClr val="d8aaa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'📊 Dashboard'!$L$8:$L$21</c:f>
              <c:strCache>
                <c:ptCount val="14"/>
                <c:pt idx="0">
                  <c:v>😴  Sleep</c:v>
                </c:pt>
                <c:pt idx="1">
                  <c:v>💻  Work</c:v>
                </c:pt>
                <c:pt idx="2">
                  <c:v>🍕  Food</c:v>
                </c:pt>
                <c:pt idx="3">
                  <c:v>🧹  Household Chores</c:v>
                </c:pt>
                <c:pt idx="4">
                  <c:v>👶  Childcare</c:v>
                </c:pt>
                <c:pt idx="5">
                  <c:v>🏋️  Fitness</c:v>
                </c:pt>
                <c:pt idx="6">
                  <c:v>📺  Entertainment</c:v>
                </c:pt>
                <c:pt idx="7">
                  <c:v>👨‍👩‍👧  Relationships</c:v>
                </c:pt>
                <c:pt idx="8">
                  <c:v>📚  Learning</c:v>
                </c:pt>
                <c:pt idx="9">
                  <c:v>🌱  Personal Development</c:v>
                </c:pt>
                <c:pt idx="10">
                  <c:v>🙏  Spiritual</c:v>
                </c:pt>
                <c:pt idx="11">
                  <c:v>🚗  Travel</c:v>
                </c:pt>
                <c:pt idx="12">
                  <c:v>🗂️  Admin</c:v>
                </c:pt>
                <c:pt idx="13">
                  <c:v>✅  Free Time</c:v>
                </c:pt>
              </c:strCache>
            </c:strRef>
          </c:cat>
          <c:val>
            <c:numRef>
              <c:f>'📊 Dashboard'!$M$8:$M$21</c:f>
              <c:numCache>
                <c:formatCode>0.0</c:formatCode>
                <c:ptCount val="14"/>
                <c:pt idx="0">
                  <c:v>57.1666666666667</c:v>
                </c:pt>
                <c:pt idx="1">
                  <c:v>53</c:v>
                </c:pt>
                <c:pt idx="2">
                  <c:v>5.91666666666667</c:v>
                </c:pt>
                <c:pt idx="3">
                  <c:v>6</c:v>
                </c:pt>
                <c:pt idx="4">
                  <c:v>16</c:v>
                </c:pt>
                <c:pt idx="5">
                  <c:v>10</c:v>
                </c:pt>
                <c:pt idx="6">
                  <c:v>12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1.91666666666666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What does my time split look like overall?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Dashboard'!M7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f6a21d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Dashboard'!$L$8:$L$21</c:f>
              <c:strCache>
                <c:ptCount val="14"/>
                <c:pt idx="0">
                  <c:v>😴  Sleep</c:v>
                </c:pt>
                <c:pt idx="1">
                  <c:v>💻  Work</c:v>
                </c:pt>
                <c:pt idx="2">
                  <c:v>🍕  Food</c:v>
                </c:pt>
                <c:pt idx="3">
                  <c:v>🧹  Household Chores</c:v>
                </c:pt>
                <c:pt idx="4">
                  <c:v>👶  Childcare</c:v>
                </c:pt>
                <c:pt idx="5">
                  <c:v>🏋️  Fitness</c:v>
                </c:pt>
                <c:pt idx="6">
                  <c:v>📺  Entertainment</c:v>
                </c:pt>
                <c:pt idx="7">
                  <c:v>👨‍👩‍👧  Relationships</c:v>
                </c:pt>
                <c:pt idx="8">
                  <c:v>📚  Learning</c:v>
                </c:pt>
                <c:pt idx="9">
                  <c:v>🌱  Personal Development</c:v>
                </c:pt>
                <c:pt idx="10">
                  <c:v>🙏  Spiritual</c:v>
                </c:pt>
                <c:pt idx="11">
                  <c:v>🚗  Travel</c:v>
                </c:pt>
                <c:pt idx="12">
                  <c:v>🗂️  Admin</c:v>
                </c:pt>
                <c:pt idx="13">
                  <c:v>✅  Free Time</c:v>
                </c:pt>
              </c:strCache>
            </c:strRef>
          </c:cat>
          <c:val>
            <c:numRef>
              <c:f>'📊 Dashboard'!$M$8:$M$21</c:f>
              <c:numCache>
                <c:formatCode>0.0</c:formatCode>
                <c:ptCount val="14"/>
                <c:pt idx="0">
                  <c:v>57.1666666666667</c:v>
                </c:pt>
                <c:pt idx="1">
                  <c:v>53</c:v>
                </c:pt>
                <c:pt idx="2">
                  <c:v>5.91666666666667</c:v>
                </c:pt>
                <c:pt idx="3">
                  <c:v>6</c:v>
                </c:pt>
                <c:pt idx="4">
                  <c:v>16</c:v>
                </c:pt>
                <c:pt idx="5">
                  <c:v>10</c:v>
                </c:pt>
                <c:pt idx="6">
                  <c:v>12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1.91666666666666</c:v>
                </c:pt>
              </c:numCache>
            </c:numRef>
          </c:val>
        </c:ser>
        <c:gapWidth val="150"/>
        <c:overlap val="0"/>
        <c:axId val="59877601"/>
        <c:axId val="3525431"/>
      </c:barChart>
      <c:catAx>
        <c:axId val="59877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5431"/>
        <c:crosses val="autoZero"/>
        <c:auto val="1"/>
        <c:lblAlgn val="ctr"/>
        <c:lblOffset val="100"/>
        <c:noMultiLvlLbl val="0"/>
      </c:catAx>
      <c:valAx>
        <c:axId val="3525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776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0</xdr:rowOff>
    </xdr:from>
    <xdr:to>
      <xdr:col>4</xdr:col>
      <xdr:colOff>312480</xdr:colOff>
      <xdr:row>22</xdr:row>
      <xdr:rowOff>47520</xdr:rowOff>
    </xdr:to>
    <xdr:graphicFrame>
      <xdr:nvGraphicFramePr>
        <xdr:cNvPr id="0" name="Chart 1"/>
        <xdr:cNvGraphicFramePr/>
      </xdr:nvGraphicFramePr>
      <xdr:xfrm>
        <a:off x="177840" y="1143000"/>
        <a:ext cx="37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</xdr:row>
      <xdr:rowOff>0</xdr:rowOff>
    </xdr:from>
    <xdr:to>
      <xdr:col>9</xdr:col>
      <xdr:colOff>312480</xdr:colOff>
      <xdr:row>22</xdr:row>
      <xdr:rowOff>47520</xdr:rowOff>
    </xdr:to>
    <xdr:graphicFrame>
      <xdr:nvGraphicFramePr>
        <xdr:cNvPr id="1" name="Chart 2"/>
        <xdr:cNvGraphicFramePr/>
      </xdr:nvGraphicFramePr>
      <xdr:xfrm>
        <a:off x="5067360" y="1143000"/>
        <a:ext cx="37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21"/>
    <col collapsed="false" customWidth="true" hidden="false" outlineLevel="0" max="6" min="6" style="0" width="9"/>
    <col collapsed="false" customWidth="true" hidden="false" outlineLevel="0" max="7" min="7" style="0" width="4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n">
        <v>8</v>
      </c>
      <c r="D6" s="6" t="s">
        <v>4</v>
      </c>
      <c r="E6" s="7" t="s">
        <v>5</v>
      </c>
      <c r="F6" s="8" t="n">
        <f aca="false">C6*7</f>
        <v>56</v>
      </c>
      <c r="G6" s="6" t="s">
        <v>6</v>
      </c>
    </row>
    <row r="7" customFormat="false" ht="15" hidden="false" customHeight="false" outlineLevel="0" collapsed="false">
      <c r="B7" s="4" t="s">
        <v>7</v>
      </c>
      <c r="C7" s="5" t="n">
        <v>10</v>
      </c>
      <c r="D7" s="6" t="s">
        <v>8</v>
      </c>
      <c r="E7" s="7" t="s">
        <v>5</v>
      </c>
      <c r="F7" s="8" t="n">
        <f aca="false">C7*7/60</f>
        <v>1.16666666666667</v>
      </c>
      <c r="G7" s="6" t="s">
        <v>9</v>
      </c>
    </row>
    <row r="8" customFormat="false" ht="15" hidden="false" customHeight="false" outlineLevel="0" collapsed="false">
      <c r="B8" s="4" t="s">
        <v>10</v>
      </c>
      <c r="C8" s="5" t="n">
        <v>0</v>
      </c>
      <c r="D8" s="6" t="s">
        <v>11</v>
      </c>
      <c r="E8" s="7" t="s">
        <v>5</v>
      </c>
      <c r="F8" s="8" t="n">
        <f aca="false">C8*7/60</f>
        <v>0</v>
      </c>
      <c r="G8" s="6" t="s">
        <v>12</v>
      </c>
    </row>
    <row r="9" customFormat="false" ht="15" hidden="false" customHeight="false" outlineLevel="0" collapsed="false">
      <c r="B9" s="9"/>
      <c r="C9" s="9"/>
      <c r="D9" s="9"/>
      <c r="E9" s="10" t="s">
        <v>13</v>
      </c>
      <c r="F9" s="11" t="n">
        <f aca="false">F6+F7+F8</f>
        <v>57.1666666666667</v>
      </c>
      <c r="G9" s="12" t="s">
        <v>14</v>
      </c>
    </row>
    <row r="10" customFormat="false" ht="15" hidden="false" customHeight="false" outlineLevel="0" collapsed="false">
      <c r="E10" s="13" t="s">
        <v>15</v>
      </c>
      <c r="F10" s="14" t="n">
        <f aca="false">168-F9</f>
        <v>110.833333333333</v>
      </c>
      <c r="G10" s="6" t="s">
        <v>16</v>
      </c>
    </row>
    <row r="12" customFormat="false" ht="21.75" hidden="false" customHeight="true" outlineLevel="0" collapsed="false">
      <c r="B12" s="3" t="s">
        <v>17</v>
      </c>
      <c r="C12" s="3"/>
      <c r="D12" s="3"/>
      <c r="E12" s="3"/>
      <c r="F12" s="3"/>
      <c r="G12" s="3"/>
    </row>
    <row r="13" customFormat="false" ht="15" hidden="false" customHeight="false" outlineLevel="0" collapsed="false">
      <c r="B13" s="4" t="s">
        <v>18</v>
      </c>
      <c r="C13" s="5" t="n">
        <v>8</v>
      </c>
      <c r="D13" s="6" t="s">
        <v>19</v>
      </c>
    </row>
    <row r="14" customFormat="false" ht="15" hidden="false" customHeight="false" outlineLevel="0" collapsed="false">
      <c r="B14" s="4" t="s">
        <v>20</v>
      </c>
      <c r="C14" s="15" t="n">
        <v>6</v>
      </c>
      <c r="D14" s="6" t="s">
        <v>21</v>
      </c>
      <c r="E14" s="7" t="s">
        <v>5</v>
      </c>
      <c r="F14" s="8" t="n">
        <f aca="false">C13*C14</f>
        <v>48</v>
      </c>
      <c r="G14" s="6" t="s">
        <v>22</v>
      </c>
    </row>
    <row r="15" customFormat="false" ht="15" hidden="false" customHeight="false" outlineLevel="0" collapsed="false">
      <c r="B15" s="4" t="s">
        <v>23</v>
      </c>
      <c r="C15" s="5" t="n">
        <v>30</v>
      </c>
      <c r="D15" s="6" t="s">
        <v>24</v>
      </c>
      <c r="E15" s="7" t="s">
        <v>5</v>
      </c>
      <c r="F15" s="8" t="n">
        <f aca="false">C15*C14/60</f>
        <v>3</v>
      </c>
      <c r="G15" s="6" t="s">
        <v>25</v>
      </c>
    </row>
    <row r="16" customFormat="false" ht="15" hidden="false" customHeight="false" outlineLevel="0" collapsed="false">
      <c r="B16" s="4" t="s">
        <v>26</v>
      </c>
      <c r="C16" s="5" t="n">
        <v>0</v>
      </c>
      <c r="D16" s="6" t="s">
        <v>27</v>
      </c>
      <c r="E16" s="7" t="s">
        <v>5</v>
      </c>
      <c r="F16" s="8" t="n">
        <f aca="false">C16*2*C14/60</f>
        <v>0</v>
      </c>
      <c r="G16" s="6" t="s">
        <v>28</v>
      </c>
    </row>
    <row r="17" customFormat="false" ht="15" hidden="false" customHeight="false" outlineLevel="0" collapsed="false">
      <c r="B17" s="4" t="s">
        <v>29</v>
      </c>
      <c r="C17" s="5" t="n">
        <v>10</v>
      </c>
      <c r="D17" s="6" t="s">
        <v>30</v>
      </c>
      <c r="E17" s="7" t="s">
        <v>5</v>
      </c>
      <c r="F17" s="8" t="n">
        <f aca="false">C17*C14/60</f>
        <v>1</v>
      </c>
      <c r="G17" s="6" t="s">
        <v>31</v>
      </c>
    </row>
    <row r="18" customFormat="false" ht="15" hidden="false" customHeight="false" outlineLevel="0" collapsed="false">
      <c r="B18" s="4" t="s">
        <v>29</v>
      </c>
      <c r="C18" s="5" t="n">
        <v>10</v>
      </c>
      <c r="D18" s="6" t="s">
        <v>32</v>
      </c>
      <c r="E18" s="7" t="s">
        <v>5</v>
      </c>
      <c r="F18" s="8" t="n">
        <f aca="false">C18*C14/60</f>
        <v>1</v>
      </c>
      <c r="G18" s="6" t="s">
        <v>33</v>
      </c>
    </row>
    <row r="19" customFormat="false" ht="15" hidden="false" customHeight="false" outlineLevel="0" collapsed="false">
      <c r="B19" s="4" t="s">
        <v>34</v>
      </c>
      <c r="C19" s="5" t="n">
        <v>5</v>
      </c>
      <c r="D19" s="6" t="s">
        <v>35</v>
      </c>
      <c r="G19" s="16" t="s">
        <v>36</v>
      </c>
    </row>
    <row r="20" customFormat="false" ht="15" hidden="false" customHeight="false" outlineLevel="0" collapsed="false">
      <c r="B20" s="4" t="s">
        <v>37</v>
      </c>
      <c r="C20" s="5" t="n">
        <v>12</v>
      </c>
      <c r="D20" s="6" t="s">
        <v>35</v>
      </c>
      <c r="G20" s="16" t="s">
        <v>36</v>
      </c>
    </row>
    <row r="21" customFormat="false" ht="15" hidden="false" customHeight="false" outlineLevel="0" collapsed="false">
      <c r="B21" s="9"/>
      <c r="C21" s="9"/>
      <c r="D21" s="9"/>
      <c r="E21" s="10" t="s">
        <v>38</v>
      </c>
      <c r="F21" s="11" t="n">
        <f aca="false">F14+F15+F16+F17+F18</f>
        <v>53</v>
      </c>
      <c r="G21" s="12" t="s">
        <v>39</v>
      </c>
    </row>
    <row r="22" customFormat="false" ht="15" hidden="false" customHeight="false" outlineLevel="0" collapsed="false">
      <c r="E22" s="13" t="s">
        <v>15</v>
      </c>
      <c r="F22" s="14" t="n">
        <f aca="false">F10-F21</f>
        <v>57.8333333333333</v>
      </c>
      <c r="G22" s="6" t="s">
        <v>16</v>
      </c>
    </row>
    <row r="24" customFormat="false" ht="21.75" hidden="false" customHeight="true" outlineLevel="0" collapsed="false">
      <c r="B24" s="3" t="s">
        <v>40</v>
      </c>
      <c r="C24" s="3"/>
      <c r="D24" s="3"/>
      <c r="E24" s="3"/>
      <c r="F24" s="3"/>
      <c r="G24" s="3"/>
    </row>
    <row r="25" customFormat="false" ht="15" hidden="false" customHeight="false" outlineLevel="0" collapsed="false">
      <c r="B25" s="4" t="s">
        <v>41</v>
      </c>
      <c r="C25" s="5" t="n">
        <v>15</v>
      </c>
      <c r="D25" s="6" t="s">
        <v>42</v>
      </c>
    </row>
    <row r="26" customFormat="false" ht="15" hidden="false" customHeight="false" outlineLevel="0" collapsed="false">
      <c r="B26" s="4" t="s">
        <v>43</v>
      </c>
      <c r="C26" s="5" t="n">
        <v>0</v>
      </c>
      <c r="D26" s="6" t="s">
        <v>44</v>
      </c>
    </row>
    <row r="27" customFormat="false" ht="15" hidden="false" customHeight="false" outlineLevel="0" collapsed="false">
      <c r="E27" s="7" t="s">
        <v>45</v>
      </c>
      <c r="F27" s="8" t="n">
        <f aca="false">(C25+C26)*7/60</f>
        <v>1.75</v>
      </c>
      <c r="G27" s="6" t="s">
        <v>46</v>
      </c>
    </row>
    <row r="28" customFormat="false" ht="15" hidden="false" customHeight="false" outlineLevel="0" collapsed="false">
      <c r="B28" s="4" t="s">
        <v>47</v>
      </c>
      <c r="C28" s="5" t="n">
        <v>40</v>
      </c>
      <c r="D28" s="6" t="s">
        <v>48</v>
      </c>
    </row>
    <row r="29" customFormat="false" ht="15" hidden="false" customHeight="false" outlineLevel="0" collapsed="false">
      <c r="B29" s="4" t="s">
        <v>43</v>
      </c>
      <c r="C29" s="5" t="n">
        <v>0</v>
      </c>
      <c r="D29" s="6" t="s">
        <v>44</v>
      </c>
    </row>
    <row r="30" customFormat="false" ht="15" hidden="false" customHeight="false" outlineLevel="0" collapsed="false">
      <c r="E30" s="7" t="s">
        <v>45</v>
      </c>
      <c r="F30" s="8" t="n">
        <f aca="false">(C28+C29)*(7-C14)/60</f>
        <v>0.666666666666667</v>
      </c>
      <c r="G30" s="6" t="s">
        <v>49</v>
      </c>
    </row>
    <row r="31" customFormat="false" ht="15" hidden="false" customHeight="false" outlineLevel="0" collapsed="false">
      <c r="B31" s="4" t="s">
        <v>41</v>
      </c>
      <c r="C31" s="5" t="n">
        <v>30</v>
      </c>
      <c r="D31" s="6" t="s">
        <v>50</v>
      </c>
    </row>
    <row r="32" customFormat="false" ht="15" hidden="false" customHeight="false" outlineLevel="0" collapsed="false">
      <c r="B32" s="4" t="s">
        <v>43</v>
      </c>
      <c r="C32" s="5" t="n">
        <v>0</v>
      </c>
      <c r="D32" s="6" t="s">
        <v>44</v>
      </c>
    </row>
    <row r="33" customFormat="false" ht="15" hidden="false" customHeight="false" outlineLevel="0" collapsed="false">
      <c r="E33" s="7" t="s">
        <v>45</v>
      </c>
      <c r="F33" s="8" t="n">
        <f aca="false">(C31+C32)*7/60</f>
        <v>3.5</v>
      </c>
      <c r="G33" s="6" t="s">
        <v>51</v>
      </c>
    </row>
    <row r="34" customFormat="false" ht="15" hidden="false" customHeight="false" outlineLevel="0" collapsed="false">
      <c r="B34" s="9"/>
      <c r="C34" s="9"/>
      <c r="D34" s="9"/>
      <c r="E34" s="10" t="s">
        <v>52</v>
      </c>
      <c r="F34" s="11" t="n">
        <f aca="false">F27+F30+F33</f>
        <v>5.91666666666667</v>
      </c>
      <c r="G34" s="12" t="s">
        <v>53</v>
      </c>
    </row>
    <row r="35" customFormat="false" ht="15" hidden="false" customHeight="false" outlineLevel="0" collapsed="false">
      <c r="E35" s="13" t="s">
        <v>15</v>
      </c>
      <c r="F35" s="14" t="n">
        <f aca="false">F22-F34</f>
        <v>51.9166666666667</v>
      </c>
      <c r="G35" s="6" t="s">
        <v>16</v>
      </c>
    </row>
    <row r="37" customFormat="false" ht="21.75" hidden="false" customHeight="true" outlineLevel="0" collapsed="false">
      <c r="B37" s="3" t="s">
        <v>54</v>
      </c>
      <c r="C37" s="3"/>
      <c r="D37" s="3"/>
      <c r="E37" s="3"/>
      <c r="F37" s="3"/>
      <c r="G37" s="3"/>
    </row>
    <row r="38" customFormat="false" ht="15" hidden="false" customHeight="false" outlineLevel="0" collapsed="false">
      <c r="B38" s="4" t="s">
        <v>55</v>
      </c>
      <c r="C38" s="15" t="n">
        <v>2</v>
      </c>
      <c r="D38" s="6" t="s">
        <v>56</v>
      </c>
    </row>
    <row r="39" customFormat="false" ht="15" hidden="false" customHeight="false" outlineLevel="0" collapsed="false">
      <c r="B39" s="4" t="s">
        <v>57</v>
      </c>
      <c r="C39" s="5" t="n">
        <v>120</v>
      </c>
      <c r="D39" s="6" t="s">
        <v>58</v>
      </c>
      <c r="E39" s="7" t="s">
        <v>5</v>
      </c>
      <c r="F39" s="8" t="n">
        <f aca="false">C38*C39/60</f>
        <v>4</v>
      </c>
      <c r="G39" s="6" t="s">
        <v>59</v>
      </c>
    </row>
    <row r="40" customFormat="false" ht="15" hidden="false" customHeight="false" outlineLevel="0" collapsed="false">
      <c r="B40" s="4" t="s">
        <v>60</v>
      </c>
      <c r="C40" s="15" t="n">
        <v>1</v>
      </c>
      <c r="D40" s="6" t="s">
        <v>56</v>
      </c>
    </row>
    <row r="41" customFormat="false" ht="15" hidden="false" customHeight="false" outlineLevel="0" collapsed="false">
      <c r="B41" s="4" t="s">
        <v>61</v>
      </c>
      <c r="C41" s="5" t="n">
        <v>60</v>
      </c>
      <c r="D41" s="6" t="s">
        <v>62</v>
      </c>
      <c r="E41" s="7" t="s">
        <v>5</v>
      </c>
      <c r="F41" s="8" t="n">
        <f aca="false">C40*C41/60</f>
        <v>1</v>
      </c>
      <c r="G41" s="6" t="s">
        <v>63</v>
      </c>
    </row>
    <row r="42" customFormat="false" ht="15" hidden="false" customHeight="false" outlineLevel="0" collapsed="false">
      <c r="B42" s="4" t="s">
        <v>64</v>
      </c>
      <c r="C42" s="15" t="n">
        <v>0</v>
      </c>
      <c r="D42" s="6" t="s">
        <v>56</v>
      </c>
    </row>
    <row r="43" customFormat="false" ht="15" hidden="false" customHeight="false" outlineLevel="0" collapsed="false">
      <c r="B43" s="4" t="s">
        <v>65</v>
      </c>
      <c r="C43" s="5" t="n">
        <v>0</v>
      </c>
      <c r="D43" s="6" t="s">
        <v>62</v>
      </c>
      <c r="E43" s="7" t="s">
        <v>5</v>
      </c>
      <c r="F43" s="8" t="n">
        <f aca="false">C42*C43/60</f>
        <v>0</v>
      </c>
      <c r="G43" s="6" t="s">
        <v>66</v>
      </c>
    </row>
    <row r="44" customFormat="false" ht="15" hidden="false" customHeight="false" outlineLevel="0" collapsed="false">
      <c r="B44" s="4" t="s">
        <v>67</v>
      </c>
      <c r="C44" s="5" t="n">
        <v>1</v>
      </c>
      <c r="D44" s="6" t="s">
        <v>68</v>
      </c>
      <c r="E44" s="7" t="s">
        <v>5</v>
      </c>
      <c r="F44" s="8" t="n">
        <f aca="false">C44</f>
        <v>1</v>
      </c>
      <c r="G44" s="6" t="s">
        <v>69</v>
      </c>
    </row>
    <row r="45" customFormat="false" ht="15" hidden="false" customHeight="false" outlineLevel="0" collapsed="false">
      <c r="B45" s="9"/>
      <c r="C45" s="9"/>
      <c r="D45" s="9"/>
      <c r="E45" s="10" t="s">
        <v>70</v>
      </c>
      <c r="F45" s="11" t="n">
        <f aca="false">F39+F41+F43+F44</f>
        <v>6</v>
      </c>
      <c r="G45" s="12" t="s">
        <v>71</v>
      </c>
    </row>
    <row r="46" customFormat="false" ht="15" hidden="false" customHeight="false" outlineLevel="0" collapsed="false">
      <c r="E46" s="13" t="s">
        <v>15</v>
      </c>
      <c r="F46" s="14" t="n">
        <f aca="false">F35-F45</f>
        <v>45.9166666666667</v>
      </c>
      <c r="G46" s="6" t="s">
        <v>16</v>
      </c>
    </row>
    <row r="48" customFormat="false" ht="21.75" hidden="false" customHeight="true" outlineLevel="0" collapsed="false">
      <c r="B48" s="3" t="s">
        <v>72</v>
      </c>
      <c r="C48" s="3"/>
      <c r="D48" s="3"/>
      <c r="E48" s="3"/>
      <c r="F48" s="3"/>
      <c r="G48" s="3"/>
    </row>
    <row r="49" customFormat="false" ht="15" hidden="false" customHeight="false" outlineLevel="0" collapsed="false">
      <c r="B49" s="4" t="s">
        <v>73</v>
      </c>
      <c r="C49" s="5" t="n">
        <v>2</v>
      </c>
      <c r="D49" s="6" t="s">
        <v>74</v>
      </c>
      <c r="E49" s="7" t="s">
        <v>5</v>
      </c>
      <c r="F49" s="8" t="n">
        <f aca="false">C49*5</f>
        <v>10</v>
      </c>
      <c r="G49" s="6" t="s">
        <v>75</v>
      </c>
    </row>
    <row r="50" customFormat="false" ht="15" hidden="false" customHeight="false" outlineLevel="0" collapsed="false">
      <c r="B50" s="4" t="s">
        <v>76</v>
      </c>
      <c r="C50" s="5" t="n">
        <v>3</v>
      </c>
      <c r="D50" s="6" t="s">
        <v>74</v>
      </c>
      <c r="E50" s="7" t="s">
        <v>5</v>
      </c>
      <c r="F50" s="8" t="n">
        <f aca="false">C50*2</f>
        <v>6</v>
      </c>
      <c r="G50" s="6" t="s">
        <v>77</v>
      </c>
    </row>
    <row r="51" customFormat="false" ht="15" hidden="false" customHeight="false" outlineLevel="0" collapsed="false">
      <c r="B51" s="4" t="s">
        <v>78</v>
      </c>
      <c r="C51" s="5" t="n">
        <v>0</v>
      </c>
      <c r="D51" s="6" t="s">
        <v>79</v>
      </c>
      <c r="E51" s="7" t="s">
        <v>5</v>
      </c>
      <c r="F51" s="8" t="n">
        <f aca="false">C51</f>
        <v>0</v>
      </c>
      <c r="G51" s="6" t="s">
        <v>80</v>
      </c>
    </row>
    <row r="52" customFormat="false" ht="15" hidden="false" customHeight="false" outlineLevel="0" collapsed="false">
      <c r="B52" s="4" t="s">
        <v>78</v>
      </c>
      <c r="C52" s="5" t="n">
        <v>0</v>
      </c>
      <c r="D52" s="6" t="s">
        <v>81</v>
      </c>
      <c r="E52" s="7" t="s">
        <v>5</v>
      </c>
      <c r="F52" s="8" t="n">
        <f aca="false">C52</f>
        <v>0</v>
      </c>
      <c r="G52" s="6" t="s">
        <v>82</v>
      </c>
    </row>
    <row r="53" customFormat="false" ht="15" hidden="false" customHeight="false" outlineLevel="0" collapsed="false">
      <c r="B53" s="9"/>
      <c r="C53" s="9"/>
      <c r="D53" s="9"/>
      <c r="E53" s="10" t="s">
        <v>83</v>
      </c>
      <c r="F53" s="11" t="n">
        <f aca="false">F49+F50+F51+F52</f>
        <v>16</v>
      </c>
      <c r="G53" s="12" t="s">
        <v>84</v>
      </c>
    </row>
    <row r="54" customFormat="false" ht="15" hidden="false" customHeight="false" outlineLevel="0" collapsed="false">
      <c r="E54" s="13" t="s">
        <v>15</v>
      </c>
      <c r="F54" s="14" t="n">
        <f aca="false">F46-F53</f>
        <v>29.9166666666667</v>
      </c>
      <c r="G54" s="6" t="s">
        <v>16</v>
      </c>
    </row>
    <row r="56" customFormat="false" ht="21.75" hidden="false" customHeight="true" outlineLevel="0" collapsed="false">
      <c r="B56" s="3" t="s">
        <v>85</v>
      </c>
      <c r="C56" s="3"/>
      <c r="D56" s="3"/>
      <c r="E56" s="3"/>
      <c r="F56" s="3"/>
      <c r="G56" s="3"/>
    </row>
    <row r="57" customFormat="false" ht="15" hidden="false" customHeight="false" outlineLevel="0" collapsed="false">
      <c r="B57" s="4" t="s">
        <v>78</v>
      </c>
      <c r="C57" s="5" t="n">
        <v>8</v>
      </c>
      <c r="D57" s="6" t="s">
        <v>86</v>
      </c>
      <c r="E57" s="7" t="s">
        <v>5</v>
      </c>
      <c r="F57" s="8" t="n">
        <f aca="false">C57</f>
        <v>8</v>
      </c>
      <c r="G57" s="6" t="s">
        <v>87</v>
      </c>
    </row>
    <row r="58" customFormat="false" ht="15" hidden="false" customHeight="false" outlineLevel="0" collapsed="false">
      <c r="B58" s="4" t="s">
        <v>78</v>
      </c>
      <c r="C58" s="5" t="n">
        <v>2</v>
      </c>
      <c r="D58" s="6" t="s">
        <v>88</v>
      </c>
      <c r="E58" s="7" t="s">
        <v>5</v>
      </c>
      <c r="F58" s="8" t="n">
        <f aca="false">C58</f>
        <v>2</v>
      </c>
      <c r="G58" s="6" t="s">
        <v>89</v>
      </c>
    </row>
    <row r="59" customFormat="false" ht="15" hidden="false" customHeight="false" outlineLevel="0" collapsed="false">
      <c r="B59" s="9"/>
      <c r="C59" s="9"/>
      <c r="D59" s="9"/>
      <c r="E59" s="10" t="s">
        <v>90</v>
      </c>
      <c r="F59" s="11" t="n">
        <f aca="false">F57+F58</f>
        <v>10</v>
      </c>
      <c r="G59" s="12" t="s">
        <v>91</v>
      </c>
    </row>
    <row r="60" customFormat="false" ht="15" hidden="false" customHeight="false" outlineLevel="0" collapsed="false">
      <c r="E60" s="13" t="s">
        <v>15</v>
      </c>
      <c r="F60" s="14" t="n">
        <f aca="false">F54-F59</f>
        <v>19.9166666666667</v>
      </c>
      <c r="G60" s="6" t="s">
        <v>16</v>
      </c>
    </row>
    <row r="62" customFormat="false" ht="21.75" hidden="false" customHeight="true" outlineLevel="0" collapsed="false">
      <c r="B62" s="3" t="s">
        <v>92</v>
      </c>
      <c r="C62" s="3"/>
      <c r="D62" s="3"/>
      <c r="E62" s="3"/>
      <c r="F62" s="3"/>
      <c r="G62" s="3"/>
    </row>
    <row r="63" customFormat="false" ht="15" hidden="false" customHeight="false" outlineLevel="0" collapsed="false">
      <c r="B63" s="4" t="s">
        <v>78</v>
      </c>
      <c r="C63" s="5" t="n">
        <v>0</v>
      </c>
      <c r="D63" s="6" t="s">
        <v>93</v>
      </c>
      <c r="E63" s="7" t="s">
        <v>5</v>
      </c>
      <c r="F63" s="8" t="n">
        <f aca="false">C63</f>
        <v>0</v>
      </c>
      <c r="G63" s="6" t="s">
        <v>94</v>
      </c>
    </row>
    <row r="64" customFormat="false" ht="15" hidden="false" customHeight="false" outlineLevel="0" collapsed="false">
      <c r="B64" s="4" t="s">
        <v>78</v>
      </c>
      <c r="C64" s="5" t="n">
        <v>7</v>
      </c>
      <c r="D64" s="6" t="s">
        <v>95</v>
      </c>
      <c r="E64" s="7" t="s">
        <v>5</v>
      </c>
      <c r="F64" s="8" t="n">
        <f aca="false">C64</f>
        <v>7</v>
      </c>
      <c r="G64" s="6" t="s">
        <v>96</v>
      </c>
    </row>
    <row r="65" customFormat="false" ht="15" hidden="false" customHeight="false" outlineLevel="0" collapsed="false">
      <c r="B65" s="4" t="s">
        <v>78</v>
      </c>
      <c r="C65" s="5" t="n">
        <v>2</v>
      </c>
      <c r="D65" s="6" t="s">
        <v>97</v>
      </c>
      <c r="E65" s="7" t="s">
        <v>5</v>
      </c>
      <c r="F65" s="8" t="n">
        <f aca="false">C65</f>
        <v>2</v>
      </c>
      <c r="G65" s="6" t="s">
        <v>98</v>
      </c>
    </row>
    <row r="66" customFormat="false" ht="15" hidden="false" customHeight="false" outlineLevel="0" collapsed="false">
      <c r="B66" s="4" t="s">
        <v>78</v>
      </c>
      <c r="C66" s="5" t="n">
        <v>0</v>
      </c>
      <c r="D66" s="6" t="s">
        <v>99</v>
      </c>
      <c r="E66" s="7" t="s">
        <v>5</v>
      </c>
      <c r="F66" s="8" t="n">
        <f aca="false">C66</f>
        <v>0</v>
      </c>
      <c r="G66" s="6" t="s">
        <v>100</v>
      </c>
    </row>
    <row r="67" customFormat="false" ht="15" hidden="false" customHeight="false" outlineLevel="0" collapsed="false">
      <c r="B67" s="4" t="s">
        <v>78</v>
      </c>
      <c r="C67" s="5" t="n">
        <v>3</v>
      </c>
      <c r="D67" s="6" t="s">
        <v>101</v>
      </c>
      <c r="E67" s="7" t="s">
        <v>5</v>
      </c>
      <c r="F67" s="8" t="n">
        <f aca="false">C67</f>
        <v>3</v>
      </c>
      <c r="G67" s="6" t="s">
        <v>102</v>
      </c>
    </row>
    <row r="68" customFormat="false" ht="15" hidden="false" customHeight="false" outlineLevel="0" collapsed="false">
      <c r="B68" s="9"/>
      <c r="C68" s="9"/>
      <c r="D68" s="9"/>
      <c r="E68" s="10" t="s">
        <v>103</v>
      </c>
      <c r="F68" s="11" t="n">
        <f aca="false">F63+F64+F65+F66+F67</f>
        <v>12</v>
      </c>
      <c r="G68" s="12" t="s">
        <v>104</v>
      </c>
    </row>
    <row r="69" customFormat="false" ht="15" hidden="false" customHeight="false" outlineLevel="0" collapsed="false">
      <c r="E69" s="13" t="s">
        <v>15</v>
      </c>
      <c r="F69" s="14" t="n">
        <f aca="false">F60-F68</f>
        <v>7.91666666666668</v>
      </c>
      <c r="G69" s="6" t="s">
        <v>16</v>
      </c>
    </row>
    <row r="71" customFormat="false" ht="21.75" hidden="false" customHeight="true" outlineLevel="0" collapsed="false">
      <c r="B71" s="3" t="s">
        <v>105</v>
      </c>
      <c r="C71" s="3"/>
      <c r="D71" s="3"/>
      <c r="E71" s="3"/>
      <c r="F71" s="3"/>
      <c r="G71" s="3"/>
    </row>
    <row r="72" customFormat="false" ht="15" hidden="false" customHeight="false" outlineLevel="0" collapsed="false">
      <c r="B72" s="4" t="s">
        <v>78</v>
      </c>
      <c r="C72" s="5" t="n">
        <v>3</v>
      </c>
      <c r="D72" s="6" t="s">
        <v>106</v>
      </c>
      <c r="E72" s="7" t="s">
        <v>5</v>
      </c>
      <c r="F72" s="8" t="n">
        <f aca="false">C72</f>
        <v>3</v>
      </c>
      <c r="G72" s="6" t="s">
        <v>107</v>
      </c>
    </row>
    <row r="73" customFormat="false" ht="15" hidden="false" customHeight="false" outlineLevel="0" collapsed="false">
      <c r="B73" s="4" t="s">
        <v>78</v>
      </c>
      <c r="C73" s="5" t="n">
        <v>3</v>
      </c>
      <c r="D73" s="6" t="s">
        <v>108</v>
      </c>
      <c r="E73" s="7" t="s">
        <v>5</v>
      </c>
      <c r="F73" s="8" t="n">
        <f aca="false">C73</f>
        <v>3</v>
      </c>
      <c r="G73" s="6" t="s">
        <v>109</v>
      </c>
    </row>
    <row r="74" customFormat="false" ht="15" hidden="false" customHeight="false" outlineLevel="0" collapsed="false">
      <c r="B74" s="9"/>
      <c r="C74" s="9"/>
      <c r="D74" s="9"/>
      <c r="E74" s="10" t="s">
        <v>110</v>
      </c>
      <c r="F74" s="11" t="n">
        <f aca="false">F72+F73</f>
        <v>6</v>
      </c>
      <c r="G74" s="12" t="s">
        <v>111</v>
      </c>
    </row>
    <row r="75" customFormat="false" ht="15" hidden="false" customHeight="false" outlineLevel="0" collapsed="false">
      <c r="E75" s="13" t="s">
        <v>15</v>
      </c>
      <c r="F75" s="14" t="n">
        <f aca="false">F69-F74</f>
        <v>1.91666666666668</v>
      </c>
      <c r="G75" s="6" t="s">
        <v>16</v>
      </c>
    </row>
    <row r="77" customFormat="false" ht="21.75" hidden="false" customHeight="true" outlineLevel="0" collapsed="false">
      <c r="B77" s="3" t="s">
        <v>112</v>
      </c>
      <c r="C77" s="3"/>
      <c r="D77" s="3"/>
      <c r="E77" s="3"/>
      <c r="F77" s="3"/>
      <c r="G77" s="3"/>
    </row>
    <row r="78" customFormat="false" ht="15" hidden="false" customHeight="false" outlineLevel="0" collapsed="false">
      <c r="B78" s="4" t="s">
        <v>78</v>
      </c>
      <c r="C78" s="5" t="n">
        <v>0</v>
      </c>
      <c r="D78" s="6" t="s">
        <v>113</v>
      </c>
      <c r="E78" s="7" t="s">
        <v>5</v>
      </c>
      <c r="F78" s="8" t="n">
        <f aca="false">C78</f>
        <v>0</v>
      </c>
      <c r="G78" s="6" t="s">
        <v>114</v>
      </c>
    </row>
    <row r="79" customFormat="false" ht="15" hidden="false" customHeight="false" outlineLevel="0" collapsed="false">
      <c r="B79" s="4" t="s">
        <v>78</v>
      </c>
      <c r="C79" s="5" t="n">
        <v>0</v>
      </c>
      <c r="D79" s="6" t="s">
        <v>115</v>
      </c>
      <c r="E79" s="7" t="s">
        <v>5</v>
      </c>
      <c r="F79" s="8" t="n">
        <f aca="false">C79</f>
        <v>0</v>
      </c>
      <c r="G79" s="6" t="s">
        <v>116</v>
      </c>
    </row>
    <row r="80" customFormat="false" ht="15" hidden="false" customHeight="false" outlineLevel="0" collapsed="false">
      <c r="B80" s="4" t="s">
        <v>117</v>
      </c>
      <c r="C80" s="5" t="n">
        <v>0</v>
      </c>
      <c r="D80" s="6" t="s">
        <v>118</v>
      </c>
      <c r="E80" s="7" t="s">
        <v>5</v>
      </c>
      <c r="F80" s="8" t="n">
        <f aca="false">C80*7/60</f>
        <v>0</v>
      </c>
      <c r="G80" s="6" t="s">
        <v>119</v>
      </c>
    </row>
    <row r="81" customFormat="false" ht="15" hidden="false" customHeight="false" outlineLevel="0" collapsed="false">
      <c r="B81" s="9"/>
      <c r="C81" s="9"/>
      <c r="D81" s="9"/>
      <c r="E81" s="10" t="s">
        <v>120</v>
      </c>
      <c r="F81" s="11" t="n">
        <f aca="false">F78+F79+F80</f>
        <v>0</v>
      </c>
      <c r="G81" s="12" t="s">
        <v>121</v>
      </c>
    </row>
    <row r="82" customFormat="false" ht="15" hidden="false" customHeight="false" outlineLevel="0" collapsed="false">
      <c r="E82" s="13" t="s">
        <v>15</v>
      </c>
      <c r="F82" s="14" t="n">
        <f aca="false">F75-F81</f>
        <v>1.91666666666668</v>
      </c>
      <c r="G82" s="6" t="s">
        <v>16</v>
      </c>
    </row>
    <row r="84" customFormat="false" ht="21.75" hidden="false" customHeight="true" outlineLevel="0" collapsed="false">
      <c r="B84" s="3" t="s">
        <v>122</v>
      </c>
      <c r="C84" s="3"/>
      <c r="D84" s="3"/>
      <c r="E84" s="3"/>
      <c r="F84" s="3"/>
      <c r="G84" s="3"/>
    </row>
    <row r="85" customFormat="false" ht="15" hidden="false" customHeight="false" outlineLevel="0" collapsed="false">
      <c r="B85" s="4" t="s">
        <v>123</v>
      </c>
      <c r="C85" s="5" t="n">
        <v>0</v>
      </c>
      <c r="D85" s="6" t="s">
        <v>62</v>
      </c>
      <c r="E85" s="7" t="s">
        <v>5</v>
      </c>
      <c r="F85" s="8" t="n">
        <f aca="false">C85*7/60</f>
        <v>0</v>
      </c>
      <c r="G85" s="6" t="s">
        <v>124</v>
      </c>
    </row>
    <row r="86" customFormat="false" ht="15" hidden="false" customHeight="false" outlineLevel="0" collapsed="false">
      <c r="B86" s="4" t="s">
        <v>125</v>
      </c>
      <c r="C86" s="5" t="n">
        <v>0</v>
      </c>
      <c r="D86" s="6" t="s">
        <v>62</v>
      </c>
      <c r="E86" s="7" t="s">
        <v>5</v>
      </c>
      <c r="F86" s="8" t="n">
        <f aca="false">C86*7/60</f>
        <v>0</v>
      </c>
      <c r="G86" s="6" t="s">
        <v>126</v>
      </c>
    </row>
    <row r="87" customFormat="false" ht="15" hidden="false" customHeight="false" outlineLevel="0" collapsed="false">
      <c r="B87" s="4" t="s">
        <v>78</v>
      </c>
      <c r="C87" s="5" t="n">
        <v>0</v>
      </c>
      <c r="D87" s="6" t="s">
        <v>127</v>
      </c>
      <c r="E87" s="7" t="s">
        <v>5</v>
      </c>
      <c r="F87" s="8" t="n">
        <f aca="false">C87</f>
        <v>0</v>
      </c>
      <c r="G87" s="6" t="s">
        <v>128</v>
      </c>
    </row>
    <row r="88" customFormat="false" ht="15" hidden="false" customHeight="false" outlineLevel="0" collapsed="false">
      <c r="B88" s="9"/>
      <c r="C88" s="9"/>
      <c r="D88" s="9"/>
      <c r="E88" s="10" t="s">
        <v>129</v>
      </c>
      <c r="F88" s="11" t="n">
        <f aca="false">F85+F86+F87</f>
        <v>0</v>
      </c>
      <c r="G88" s="12" t="s">
        <v>130</v>
      </c>
    </row>
    <row r="89" customFormat="false" ht="15" hidden="false" customHeight="false" outlineLevel="0" collapsed="false">
      <c r="E89" s="13" t="s">
        <v>15</v>
      </c>
      <c r="F89" s="14" t="n">
        <f aca="false">F82-F88</f>
        <v>1.91666666666668</v>
      </c>
      <c r="G89" s="6" t="s">
        <v>16</v>
      </c>
    </row>
    <row r="91" customFormat="false" ht="21.75" hidden="false" customHeight="true" outlineLevel="0" collapsed="false">
      <c r="B91" s="3" t="s">
        <v>131</v>
      </c>
      <c r="C91" s="3"/>
      <c r="D91" s="3"/>
      <c r="E91" s="3"/>
      <c r="F91" s="3"/>
      <c r="G91" s="3"/>
    </row>
    <row r="92" customFormat="false" ht="15" hidden="false" customHeight="false" outlineLevel="0" collapsed="false">
      <c r="B92" s="4" t="s">
        <v>132</v>
      </c>
      <c r="C92" s="5" t="n">
        <v>0</v>
      </c>
      <c r="D92" s="6" t="s">
        <v>133</v>
      </c>
      <c r="E92" s="7" t="s">
        <v>5</v>
      </c>
      <c r="F92" s="8" t="n">
        <f aca="false">C92*7/60</f>
        <v>0</v>
      </c>
      <c r="G92" s="6" t="s">
        <v>134</v>
      </c>
    </row>
    <row r="93" customFormat="false" ht="15" hidden="false" customHeight="false" outlineLevel="0" collapsed="false">
      <c r="B93" s="4" t="s">
        <v>78</v>
      </c>
      <c r="C93" s="5" t="n">
        <v>0</v>
      </c>
      <c r="D93" s="6" t="s">
        <v>135</v>
      </c>
      <c r="E93" s="7" t="s">
        <v>5</v>
      </c>
      <c r="F93" s="8" t="n">
        <f aca="false">C93</f>
        <v>0</v>
      </c>
      <c r="G93" s="6" t="s">
        <v>136</v>
      </c>
    </row>
    <row r="94" customFormat="false" ht="15" hidden="false" customHeight="false" outlineLevel="0" collapsed="false">
      <c r="B94" s="9"/>
      <c r="C94" s="9"/>
      <c r="D94" s="9"/>
      <c r="E94" s="10" t="s">
        <v>137</v>
      </c>
      <c r="F94" s="11" t="n">
        <f aca="false">F92+F93</f>
        <v>0</v>
      </c>
      <c r="G94" s="12" t="s">
        <v>138</v>
      </c>
    </row>
    <row r="95" customFormat="false" ht="15" hidden="false" customHeight="false" outlineLevel="0" collapsed="false">
      <c r="E95" s="13" t="s">
        <v>15</v>
      </c>
      <c r="F95" s="14" t="n">
        <f aca="false">F89-F94</f>
        <v>1.91666666666668</v>
      </c>
      <c r="G95" s="6" t="s">
        <v>16</v>
      </c>
    </row>
    <row r="97" customFormat="false" ht="21.75" hidden="false" customHeight="true" outlineLevel="0" collapsed="false">
      <c r="B97" s="3" t="s">
        <v>139</v>
      </c>
      <c r="C97" s="3"/>
      <c r="D97" s="3"/>
      <c r="E97" s="3"/>
      <c r="F97" s="3"/>
      <c r="G97" s="3"/>
    </row>
    <row r="98" customFormat="false" ht="15" hidden="false" customHeight="false" outlineLevel="0" collapsed="false">
      <c r="B98" s="4" t="s">
        <v>78</v>
      </c>
      <c r="C98" s="5" t="n">
        <v>0</v>
      </c>
      <c r="D98" s="6" t="s">
        <v>140</v>
      </c>
      <c r="E98" s="7" t="s">
        <v>5</v>
      </c>
      <c r="F98" s="8" t="n">
        <f aca="false">C98</f>
        <v>0</v>
      </c>
      <c r="G98" s="6" t="s">
        <v>141</v>
      </c>
    </row>
    <row r="99" customFormat="false" ht="15" hidden="false" customHeight="false" outlineLevel="0" collapsed="false">
      <c r="B99" s="4" t="s">
        <v>78</v>
      </c>
      <c r="C99" s="5" t="n">
        <v>0</v>
      </c>
      <c r="D99" s="6" t="s">
        <v>142</v>
      </c>
      <c r="E99" s="7" t="s">
        <v>5</v>
      </c>
      <c r="F99" s="8" t="n">
        <f aca="false">C99</f>
        <v>0</v>
      </c>
      <c r="G99" s="6" t="s">
        <v>143</v>
      </c>
    </row>
    <row r="100" customFormat="false" ht="15" hidden="false" customHeight="false" outlineLevel="0" collapsed="false">
      <c r="B100" s="9"/>
      <c r="C100" s="9"/>
      <c r="D100" s="9"/>
      <c r="E100" s="10" t="s">
        <v>144</v>
      </c>
      <c r="F100" s="11" t="n">
        <f aca="false">F98+F99</f>
        <v>0</v>
      </c>
      <c r="G100" s="12" t="s">
        <v>145</v>
      </c>
    </row>
    <row r="101" customFormat="false" ht="15" hidden="false" customHeight="false" outlineLevel="0" collapsed="false">
      <c r="E101" s="13" t="s">
        <v>15</v>
      </c>
      <c r="F101" s="14" t="n">
        <f aca="false">F95-F100</f>
        <v>1.91666666666668</v>
      </c>
      <c r="G101" s="6" t="s">
        <v>16</v>
      </c>
    </row>
    <row r="103" customFormat="false" ht="21.75" hidden="false" customHeight="true" outlineLevel="0" collapsed="false">
      <c r="B103" s="3" t="s">
        <v>146</v>
      </c>
      <c r="C103" s="3"/>
      <c r="D103" s="3"/>
      <c r="E103" s="3"/>
      <c r="F103" s="3"/>
      <c r="G103" s="3"/>
    </row>
    <row r="104" customFormat="false" ht="15" hidden="false" customHeight="false" outlineLevel="0" collapsed="false">
      <c r="B104" s="4" t="s">
        <v>78</v>
      </c>
      <c r="C104" s="5" t="n">
        <v>0</v>
      </c>
      <c r="D104" s="6" t="s">
        <v>147</v>
      </c>
      <c r="E104" s="7" t="s">
        <v>5</v>
      </c>
      <c r="F104" s="8" t="n">
        <f aca="false">C104</f>
        <v>0</v>
      </c>
      <c r="G104" s="6" t="s">
        <v>148</v>
      </c>
    </row>
    <row r="105" customFormat="false" ht="15" hidden="false" customHeight="false" outlineLevel="0" collapsed="false">
      <c r="B105" s="4" t="s">
        <v>78</v>
      </c>
      <c r="C105" s="5" t="n">
        <v>0</v>
      </c>
      <c r="D105" s="6" t="s">
        <v>149</v>
      </c>
      <c r="E105" s="7" t="s">
        <v>5</v>
      </c>
      <c r="F105" s="8" t="n">
        <f aca="false">C105/60</f>
        <v>0</v>
      </c>
      <c r="G105" s="6" t="s">
        <v>150</v>
      </c>
    </row>
    <row r="106" customFormat="false" ht="15" hidden="false" customHeight="false" outlineLevel="0" collapsed="false">
      <c r="B106" s="9"/>
      <c r="C106" s="9"/>
      <c r="D106" s="9"/>
      <c r="E106" s="10" t="s">
        <v>151</v>
      </c>
      <c r="F106" s="11" t="n">
        <f aca="false">F104+F105</f>
        <v>0</v>
      </c>
      <c r="G106" s="12" t="s">
        <v>152</v>
      </c>
    </row>
    <row r="107" customFormat="false" ht="15" hidden="false" customHeight="false" outlineLevel="0" collapsed="false">
      <c r="E107" s="13" t="s">
        <v>15</v>
      </c>
      <c r="F107" s="14" t="n">
        <f aca="false">F101-F106</f>
        <v>1.91666666666668</v>
      </c>
      <c r="G107" s="6" t="s">
        <v>16</v>
      </c>
    </row>
  </sheetData>
  <mergeCells count="13">
    <mergeCell ref="B5:G5"/>
    <mergeCell ref="B12:G12"/>
    <mergeCell ref="B24:G24"/>
    <mergeCell ref="B37:G37"/>
    <mergeCell ref="B48:G48"/>
    <mergeCell ref="B56:G56"/>
    <mergeCell ref="B62:G62"/>
    <mergeCell ref="B71:G71"/>
    <mergeCell ref="B77:G77"/>
    <mergeCell ref="B84:G84"/>
    <mergeCell ref="B91:G91"/>
    <mergeCell ref="B97:G97"/>
    <mergeCell ref="B103:G103"/>
  </mergeCells>
  <dataValidations count="1">
    <dataValidation allowBlank="true" error="Enter a number (0 or more)." errorStyle="stop" operator="between" showDropDown="false" showErrorMessage="true" showInputMessage="false" sqref="C5:C109" type="decimal">
      <formula1>0</formula1>
      <formula2>10000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17B"/>
    <pageSetUpPr fitToPage="false"/>
  </sheetPr>
  <dimension ref="B2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0" min="10" style="0" width="10"/>
  </cols>
  <sheetData>
    <row r="2" customFormat="false" ht="19.7" hidden="false" customHeight="false" outlineLevel="0" collapsed="false">
      <c r="B2" s="1" t="s">
        <v>153</v>
      </c>
    </row>
    <row r="3" customFormat="false" ht="15" hidden="false" customHeight="false" outlineLevel="0" collapsed="false">
      <c r="B3" s="2" t="s">
        <v>154</v>
      </c>
    </row>
    <row r="5" customFormat="false" ht="21.75" hidden="false" customHeight="true" outlineLevel="0" collapsed="false">
      <c r="B5" s="3" t="s">
        <v>155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B6" s="17" t="s">
        <v>156</v>
      </c>
      <c r="C6" s="17"/>
      <c r="D6" s="18" t="n">
        <v>24</v>
      </c>
    </row>
    <row r="7" customFormat="false" ht="15" hidden="false" customHeight="false" outlineLevel="0" collapsed="false">
      <c r="B7" s="17" t="s">
        <v>157</v>
      </c>
      <c r="C7" s="17"/>
      <c r="D7" s="18" t="n">
        <f aca="false">D6*7</f>
        <v>168</v>
      </c>
    </row>
    <row r="8" customFormat="false" ht="15" hidden="false" customHeight="false" outlineLevel="0" collapsed="false">
      <c r="B8" s="17" t="s">
        <v>158</v>
      </c>
      <c r="C8" s="17"/>
      <c r="D8" s="18" t="n">
        <v>4</v>
      </c>
    </row>
    <row r="9" customFormat="false" ht="15" hidden="false" customHeight="false" outlineLevel="0" collapsed="false">
      <c r="B9" s="17" t="s">
        <v>159</v>
      </c>
      <c r="C9" s="17"/>
      <c r="D9" s="18" t="n">
        <v>52</v>
      </c>
    </row>
    <row r="12" customFormat="false" ht="21.75" hidden="false" customHeight="true" outlineLevel="0" collapsed="false">
      <c r="B12" s="3" t="s">
        <v>160</v>
      </c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B13" s="19"/>
      <c r="C13" s="19" t="s">
        <v>161</v>
      </c>
      <c r="D13" s="19" t="s">
        <v>162</v>
      </c>
      <c r="E13" s="19" t="s">
        <v>163</v>
      </c>
      <c r="F13" s="19" t="s">
        <v>164</v>
      </c>
      <c r="G13" s="19" t="s">
        <v>165</v>
      </c>
      <c r="H13" s="19" t="s">
        <v>166</v>
      </c>
      <c r="I13" s="19" t="s">
        <v>167</v>
      </c>
      <c r="J13" s="19" t="s">
        <v>168</v>
      </c>
    </row>
    <row r="14" customFormat="false" ht="15" hidden="false" customHeight="false" outlineLevel="0" collapsed="false">
      <c r="B14" s="20" t="s">
        <v>169</v>
      </c>
      <c r="C14" s="21" t="s">
        <v>170</v>
      </c>
      <c r="D14" s="22" t="n">
        <f aca="false">'📝 Weekly Tracker'!F9</f>
        <v>57.1666666666667</v>
      </c>
      <c r="E14" s="23" t="n">
        <f aca="false">IF($C14="","",$D14/'⚙️ Settings'!$D$7)</f>
        <v>0.340277777777778</v>
      </c>
      <c r="F14" s="24" t="n">
        <f aca="false">IF($C14="","",$D14/7)</f>
        <v>8.16666666666667</v>
      </c>
      <c r="G14" s="25" t="b">
        <f aca="false">FALSE()</f>
        <v>0</v>
      </c>
      <c r="H14" s="26" t="n">
        <v>49</v>
      </c>
      <c r="I14" s="26" t="n">
        <v>63</v>
      </c>
      <c r="J14" s="20" t="str">
        <f aca="false">IF($C14="","",IF(AND($H14&lt;&gt;"",$D14&lt;$H14),"🔻 Low",IF(AND($I14&lt;&gt;"",$D14&gt;$I14),"🔺 High","✅ OK")))</f>
        <v>✅ OK</v>
      </c>
    </row>
    <row r="15" customFormat="false" ht="15" hidden="false" customHeight="false" outlineLevel="0" collapsed="false">
      <c r="B15" s="20" t="s">
        <v>171</v>
      </c>
      <c r="C15" s="21" t="s">
        <v>172</v>
      </c>
      <c r="D15" s="22" t="n">
        <f aca="false">'📝 Weekly Tracker'!F21</f>
        <v>53</v>
      </c>
      <c r="E15" s="23" t="n">
        <f aca="false">IF($C15="","",$D15/'⚙️ Settings'!$D$7)</f>
        <v>0.31547619047619</v>
      </c>
      <c r="F15" s="24" t="n">
        <f aca="false">IF($C15="","",$D15/7)</f>
        <v>7.57142857142857</v>
      </c>
      <c r="G15" s="25" t="b">
        <f aca="false">TRUE()</f>
        <v>1</v>
      </c>
      <c r="H15" s="26"/>
      <c r="I15" s="26" t="n">
        <v>55</v>
      </c>
      <c r="J15" s="20" t="str">
        <f aca="false">IF($C15="","",IF(AND($H15&lt;&gt;"",$D15&lt;$H15),"🔻 Low",IF(AND($I15&lt;&gt;"",$D15&gt;$I15),"🔺 High","✅ OK")))</f>
        <v>✅ OK</v>
      </c>
    </row>
    <row r="16" customFormat="false" ht="15" hidden="false" customHeight="false" outlineLevel="0" collapsed="false">
      <c r="B16" s="20" t="s">
        <v>173</v>
      </c>
      <c r="C16" s="21" t="s">
        <v>174</v>
      </c>
      <c r="D16" s="22" t="n">
        <f aca="false">'📝 Weekly Tracker'!F34</f>
        <v>5.91666666666667</v>
      </c>
      <c r="E16" s="23" t="n">
        <f aca="false">IF($C16="","",$D16/'⚙️ Settings'!$D$7)</f>
        <v>0.035218253968254</v>
      </c>
      <c r="F16" s="24" t="n">
        <f aca="false">IF($C16="","",$D16/7)</f>
        <v>0.845238095238095</v>
      </c>
      <c r="G16" s="25" t="b">
        <f aca="false">FALSE()</f>
        <v>0</v>
      </c>
      <c r="H16" s="26" t="n">
        <v>3.5</v>
      </c>
      <c r="I16" s="26" t="n">
        <v>21</v>
      </c>
      <c r="J16" s="20" t="str">
        <f aca="false">IF($C16="","",IF(AND($H16&lt;&gt;"",$D16&lt;$H16),"🔻 Low",IF(AND($I16&lt;&gt;"",$D16&gt;$I16),"🔺 High","✅ OK")))</f>
        <v>✅ OK</v>
      </c>
    </row>
    <row r="17" customFormat="false" ht="15" hidden="false" customHeight="false" outlineLevel="0" collapsed="false">
      <c r="B17" s="20" t="s">
        <v>175</v>
      </c>
      <c r="C17" s="21" t="s">
        <v>176</v>
      </c>
      <c r="D17" s="22" t="n">
        <f aca="false">'📝 Weekly Tracker'!F45</f>
        <v>6</v>
      </c>
      <c r="E17" s="23" t="n">
        <f aca="false">IF($C17="","",$D17/'⚙️ Settings'!$D$7)</f>
        <v>0.0357142857142857</v>
      </c>
      <c r="F17" s="24" t="n">
        <f aca="false">IF($C17="","",$D17/7)</f>
        <v>0.857142857142857</v>
      </c>
      <c r="G17" s="25" t="b">
        <f aca="false">FALSE()</f>
        <v>0</v>
      </c>
      <c r="H17" s="26"/>
      <c r="I17" s="26" t="n">
        <v>15</v>
      </c>
      <c r="J17" s="20" t="str">
        <f aca="false">IF($C17="","",IF(AND($H17&lt;&gt;"",$D17&lt;$H17),"🔻 Low",IF(AND($I17&lt;&gt;"",$D17&gt;$I17),"🔺 High","✅ OK")))</f>
        <v>✅ OK</v>
      </c>
    </row>
    <row r="18" customFormat="false" ht="15" hidden="false" customHeight="false" outlineLevel="0" collapsed="false">
      <c r="B18" s="20" t="s">
        <v>177</v>
      </c>
      <c r="C18" s="21" t="s">
        <v>178</v>
      </c>
      <c r="D18" s="22" t="n">
        <f aca="false">'📝 Weekly Tracker'!F53</f>
        <v>16</v>
      </c>
      <c r="E18" s="23" t="n">
        <f aca="false">IF($C18="","",$D18/'⚙️ Settings'!$D$7)</f>
        <v>0.0952380952380952</v>
      </c>
      <c r="F18" s="24" t="n">
        <f aca="false">IF($C18="","",$D18/7)</f>
        <v>2.28571428571429</v>
      </c>
      <c r="G18" s="25" t="b">
        <f aca="false">FALSE()</f>
        <v>0</v>
      </c>
      <c r="H18" s="26"/>
      <c r="I18" s="26"/>
      <c r="J18" s="20" t="str">
        <f aca="false">IF($C18="","",IF(AND($H18&lt;&gt;"",$D18&lt;$H18),"🔻 Low",IF(AND($I18&lt;&gt;"",$D18&gt;$I18),"🔺 High","✅ OK")))</f>
        <v>✅ OK</v>
      </c>
    </row>
    <row r="19" customFormat="false" ht="15" hidden="false" customHeight="false" outlineLevel="0" collapsed="false">
      <c r="B19" s="20" t="s">
        <v>179</v>
      </c>
      <c r="C19" s="21" t="s">
        <v>180</v>
      </c>
      <c r="D19" s="22" t="n">
        <f aca="false">'📝 Weekly Tracker'!F59</f>
        <v>10</v>
      </c>
      <c r="E19" s="23" t="n">
        <f aca="false">IF($C19="","",$D19/'⚙️ Settings'!$D$7)</f>
        <v>0.0595238095238095</v>
      </c>
      <c r="F19" s="24" t="n">
        <f aca="false">IF($C19="","",$D19/7)</f>
        <v>1.42857142857143</v>
      </c>
      <c r="G19" s="25" t="b">
        <f aca="false">TRUE()</f>
        <v>1</v>
      </c>
      <c r="H19" s="26" t="n">
        <v>3</v>
      </c>
      <c r="I19" s="26" t="n">
        <v>20</v>
      </c>
      <c r="J19" s="20" t="str">
        <f aca="false">IF($C19="","",IF(AND($H19&lt;&gt;"",$D19&lt;$H19),"🔻 Low",IF(AND($I19&lt;&gt;"",$D19&gt;$I19),"🔺 High","✅ OK")))</f>
        <v>✅ OK</v>
      </c>
    </row>
    <row r="20" customFormat="false" ht="15" hidden="false" customHeight="false" outlineLevel="0" collapsed="false">
      <c r="B20" s="20" t="s">
        <v>181</v>
      </c>
      <c r="C20" s="21" t="s">
        <v>182</v>
      </c>
      <c r="D20" s="22" t="n">
        <f aca="false">'📝 Weekly Tracker'!F68</f>
        <v>12</v>
      </c>
      <c r="E20" s="23" t="n">
        <f aca="false">IF($C20="","",$D20/'⚙️ Settings'!$D$7)</f>
        <v>0.0714285714285714</v>
      </c>
      <c r="F20" s="24" t="n">
        <f aca="false">IF($C20="","",$D20/7)</f>
        <v>1.71428571428571</v>
      </c>
      <c r="G20" s="25" t="b">
        <f aca="false">FALSE()</f>
        <v>0</v>
      </c>
      <c r="H20" s="26"/>
      <c r="I20" s="26" t="n">
        <v>25</v>
      </c>
      <c r="J20" s="20" t="str">
        <f aca="false">IF($C20="","",IF(AND($H20&lt;&gt;"",$D20&lt;$H20),"🔻 Low",IF(AND($I20&lt;&gt;"",$D20&gt;$I20),"🔺 High","✅ OK")))</f>
        <v>✅ OK</v>
      </c>
    </row>
    <row r="21" customFormat="false" ht="15" hidden="false" customHeight="false" outlineLevel="0" collapsed="false">
      <c r="B21" s="20" t="s">
        <v>183</v>
      </c>
      <c r="C21" s="21" t="s">
        <v>184</v>
      </c>
      <c r="D21" s="22" t="n">
        <f aca="false">'📝 Weekly Tracker'!F74</f>
        <v>6</v>
      </c>
      <c r="E21" s="23" t="n">
        <f aca="false">IF($C21="","",$D21/'⚙️ Settings'!$D$7)</f>
        <v>0.0357142857142857</v>
      </c>
      <c r="F21" s="24" t="n">
        <f aca="false">IF($C21="","",$D21/7)</f>
        <v>0.857142857142857</v>
      </c>
      <c r="G21" s="25" t="b">
        <f aca="false">FALSE()</f>
        <v>0</v>
      </c>
      <c r="H21" s="26" t="n">
        <v>3</v>
      </c>
      <c r="I21" s="26"/>
      <c r="J21" s="20" t="str">
        <f aca="false">IF($C21="","",IF(AND($H21&lt;&gt;"",$D21&lt;$H21),"🔻 Low",IF(AND($I21&lt;&gt;"",$D21&gt;$I21),"🔺 High","✅ OK")))</f>
        <v>✅ OK</v>
      </c>
    </row>
    <row r="22" customFormat="false" ht="15" hidden="false" customHeight="false" outlineLevel="0" collapsed="false">
      <c r="B22" s="20" t="s">
        <v>185</v>
      </c>
      <c r="C22" s="21" t="s">
        <v>186</v>
      </c>
      <c r="D22" s="22" t="n">
        <f aca="false">'📝 Weekly Tracker'!F81</f>
        <v>0</v>
      </c>
      <c r="E22" s="23" t="n">
        <f aca="false">IF($C22="","",$D22/'⚙️ Settings'!$D$7)</f>
        <v>0</v>
      </c>
      <c r="F22" s="24" t="n">
        <f aca="false">IF($C22="","",$D22/7)</f>
        <v>0</v>
      </c>
      <c r="G22" s="25" t="b">
        <f aca="false">TRUE()</f>
        <v>1</v>
      </c>
      <c r="H22" s="26" t="n">
        <v>1</v>
      </c>
      <c r="I22" s="26"/>
      <c r="J22" s="20" t="str">
        <f aca="false">IF($C22="","",IF(AND($H22&lt;&gt;"",$D22&lt;$H22),"🔻 Low",IF(AND($I22&lt;&gt;"",$D22&gt;$I22),"🔺 High","✅ OK")))</f>
        <v>🔻 Low</v>
      </c>
    </row>
    <row r="23" customFormat="false" ht="15" hidden="false" customHeight="false" outlineLevel="0" collapsed="false">
      <c r="B23" s="20" t="s">
        <v>187</v>
      </c>
      <c r="C23" s="21" t="s">
        <v>188</v>
      </c>
      <c r="D23" s="22" t="n">
        <f aca="false">'📝 Weekly Tracker'!F88</f>
        <v>0</v>
      </c>
      <c r="E23" s="23" t="n">
        <f aca="false">IF($C23="","",$D23/'⚙️ Settings'!$D$7)</f>
        <v>0</v>
      </c>
      <c r="F23" s="24" t="n">
        <f aca="false">IF($C23="","",$D23/7)</f>
        <v>0</v>
      </c>
      <c r="G23" s="25" t="b">
        <f aca="false">TRUE()</f>
        <v>1</v>
      </c>
      <c r="H23" s="26" t="n">
        <v>1</v>
      </c>
      <c r="I23" s="26"/>
      <c r="J23" s="20" t="str">
        <f aca="false">IF($C23="","",IF(AND($H23&lt;&gt;"",$D23&lt;$H23),"🔻 Low",IF(AND($I23&lt;&gt;"",$D23&gt;$I23),"🔺 High","✅ OK")))</f>
        <v>🔻 Low</v>
      </c>
    </row>
    <row r="24" customFormat="false" ht="15" hidden="false" customHeight="false" outlineLevel="0" collapsed="false">
      <c r="B24" s="20" t="s">
        <v>189</v>
      </c>
      <c r="C24" s="21" t="s">
        <v>190</v>
      </c>
      <c r="D24" s="22" t="n">
        <f aca="false">'📝 Weekly Tracker'!F94</f>
        <v>0</v>
      </c>
      <c r="E24" s="23" t="n">
        <f aca="false">IF($C24="","",$D24/'⚙️ Settings'!$D$7)</f>
        <v>0</v>
      </c>
      <c r="F24" s="24" t="n">
        <f aca="false">IF($C24="","",$D24/7)</f>
        <v>0</v>
      </c>
      <c r="G24" s="25" t="b">
        <f aca="false">FALSE()</f>
        <v>0</v>
      </c>
      <c r="H24" s="26"/>
      <c r="I24" s="26"/>
      <c r="J24" s="20" t="str">
        <f aca="false">IF($C24="","",IF(AND($H24&lt;&gt;"",$D24&lt;$H24),"🔻 Low",IF(AND($I24&lt;&gt;"",$D24&gt;$I24),"🔺 High","✅ OK")))</f>
        <v>✅ OK</v>
      </c>
    </row>
    <row r="25" customFormat="false" ht="15" hidden="false" customHeight="false" outlineLevel="0" collapsed="false">
      <c r="B25" s="20" t="s">
        <v>191</v>
      </c>
      <c r="C25" s="21" t="s">
        <v>192</v>
      </c>
      <c r="D25" s="22" t="n">
        <f aca="false">'📝 Weekly Tracker'!F100</f>
        <v>0</v>
      </c>
      <c r="E25" s="23" t="n">
        <f aca="false">IF($C25="","",$D25/'⚙️ Settings'!$D$7)</f>
        <v>0</v>
      </c>
      <c r="F25" s="24" t="n">
        <f aca="false">IF($C25="","",$D25/7)</f>
        <v>0</v>
      </c>
      <c r="G25" s="25" t="b">
        <f aca="false">FALSE()</f>
        <v>0</v>
      </c>
      <c r="H25" s="26"/>
      <c r="I25" s="26"/>
      <c r="J25" s="20" t="str">
        <f aca="false">IF($C25="","",IF(AND($H25&lt;&gt;"",$D25&lt;$H25),"🔻 Low",IF(AND($I25&lt;&gt;"",$D25&gt;$I25),"🔺 High","✅ OK")))</f>
        <v>✅ OK</v>
      </c>
    </row>
    <row r="26" customFormat="false" ht="15" hidden="false" customHeight="false" outlineLevel="0" collapsed="false">
      <c r="B26" s="20" t="s">
        <v>193</v>
      </c>
      <c r="C26" s="21" t="s">
        <v>194</v>
      </c>
      <c r="D26" s="22" t="n">
        <f aca="false">'📝 Weekly Tracker'!F106</f>
        <v>0</v>
      </c>
      <c r="E26" s="23" t="n">
        <f aca="false">IF($C26="","",$D26/'⚙️ Settings'!$D$7)</f>
        <v>0</v>
      </c>
      <c r="F26" s="24" t="n">
        <f aca="false">IF($C26="","",$D26/7)</f>
        <v>0</v>
      </c>
      <c r="G26" s="25" t="b">
        <f aca="false">TRUE()</f>
        <v>1</v>
      </c>
      <c r="H26" s="26"/>
      <c r="I26" s="26"/>
      <c r="J26" s="20" t="str">
        <f aca="false">IF($C26="","",IF(AND($H26&lt;&gt;"",$D26&lt;$H26),"🔻 Low",IF(AND($I26&lt;&gt;"",$D26&gt;$I26),"🔺 High","✅ OK")))</f>
        <v>✅ OK</v>
      </c>
    </row>
    <row r="27" customFormat="false" ht="15" hidden="false" customHeight="false" outlineLevel="0" collapsed="false">
      <c r="B27" s="27"/>
      <c r="C27" s="28"/>
      <c r="D27" s="29"/>
      <c r="E27" s="23" t="str">
        <f aca="false">IF($C27="","",$D27/'⚙️ Settings'!$D$7)</f>
        <v/>
      </c>
      <c r="F27" s="24" t="str">
        <f aca="false">IF($C27="","",$D27/7)</f>
        <v/>
      </c>
      <c r="G27" s="30" t="b">
        <f aca="false">FALSE()</f>
        <v>0</v>
      </c>
      <c r="H27" s="26"/>
      <c r="I27" s="26"/>
      <c r="J27" s="20" t="str">
        <f aca="false">IF($C27="","",IF(AND($H27&lt;&gt;"",$D27&lt;$H27),"🔻 Low",IF(AND($I27&lt;&gt;"",$D27&gt;$I27),"🔺 High","✅ OK")))</f>
        <v/>
      </c>
    </row>
    <row r="28" customFormat="false" ht="15" hidden="false" customHeight="false" outlineLevel="0" collapsed="false">
      <c r="B28" s="27"/>
      <c r="C28" s="28"/>
      <c r="D28" s="29"/>
      <c r="E28" s="23" t="str">
        <f aca="false">IF($C28="","",$D28/'⚙️ Settings'!$D$7)</f>
        <v/>
      </c>
      <c r="F28" s="24" t="str">
        <f aca="false">IF($C28="","",$D28/7)</f>
        <v/>
      </c>
      <c r="G28" s="30" t="b">
        <f aca="false">FALSE()</f>
        <v>0</v>
      </c>
      <c r="H28" s="26"/>
      <c r="I28" s="26"/>
      <c r="J28" s="20" t="str">
        <f aca="false">IF($C28="","",IF(AND($H28&lt;&gt;"",$D28&lt;$H28),"🔻 Low",IF(AND($I28&lt;&gt;"",$D28&gt;$I28),"🔺 High","✅ OK")))</f>
        <v/>
      </c>
    </row>
    <row r="29" customFormat="false" ht="15" hidden="false" customHeight="false" outlineLevel="0" collapsed="false">
      <c r="B29" s="27"/>
      <c r="C29" s="28"/>
      <c r="D29" s="29"/>
      <c r="E29" s="23" t="str">
        <f aca="false">IF($C29="","",$D29/'⚙️ Settings'!$D$7)</f>
        <v/>
      </c>
      <c r="F29" s="24" t="str">
        <f aca="false">IF($C29="","",$D29/7)</f>
        <v/>
      </c>
      <c r="G29" s="30" t="b">
        <f aca="false">FALSE()</f>
        <v>0</v>
      </c>
      <c r="H29" s="26"/>
      <c r="I29" s="26"/>
      <c r="J29" s="20" t="str">
        <f aca="false">IF($C29="","",IF(AND($H29&lt;&gt;"",$D29&lt;$H29),"🔻 Low",IF(AND($I29&lt;&gt;"",$D29&gt;$I29),"🔺 High","✅ OK")))</f>
        <v/>
      </c>
    </row>
    <row r="30" customFormat="false" ht="15" hidden="false" customHeight="false" outlineLevel="0" collapsed="false">
      <c r="B30" s="27"/>
      <c r="C30" s="28"/>
      <c r="D30" s="29"/>
      <c r="E30" s="23" t="str">
        <f aca="false">IF($C30="","",$D30/'⚙️ Settings'!$D$7)</f>
        <v/>
      </c>
      <c r="F30" s="24" t="str">
        <f aca="false">IF($C30="","",$D30/7)</f>
        <v/>
      </c>
      <c r="G30" s="30" t="b">
        <f aca="false">FALSE()</f>
        <v>0</v>
      </c>
      <c r="H30" s="26"/>
      <c r="I30" s="26"/>
      <c r="J30" s="20" t="str">
        <f aca="false">IF($C30="","",IF(AND($H30&lt;&gt;"",$D30&lt;$H30),"🔻 Low",IF(AND($I30&lt;&gt;"",$D30&gt;$I30),"🔺 High","✅ OK")))</f>
        <v/>
      </c>
    </row>
    <row r="31" customFormat="false" ht="15" hidden="false" customHeight="false" outlineLevel="0" collapsed="false">
      <c r="B31" s="27"/>
      <c r="C31" s="28"/>
      <c r="D31" s="29"/>
      <c r="E31" s="23" t="str">
        <f aca="false">IF($C31="","",$D31/'⚙️ Settings'!$D$7)</f>
        <v/>
      </c>
      <c r="F31" s="24" t="str">
        <f aca="false">IF($C31="","",$D31/7)</f>
        <v/>
      </c>
      <c r="G31" s="30" t="b">
        <f aca="false">FALSE()</f>
        <v>0</v>
      </c>
      <c r="H31" s="26"/>
      <c r="I31" s="26"/>
      <c r="J31" s="20" t="str">
        <f aca="false">IF($C31="","",IF(AND($H31&lt;&gt;"",$D31&lt;$H31),"🔻 Low",IF(AND($I31&lt;&gt;"",$D31&gt;$I31),"🔺 High","✅ OK")))</f>
        <v/>
      </c>
    </row>
    <row r="33" customFormat="false" ht="15" hidden="false" customHeight="false" outlineLevel="0" collapsed="false">
      <c r="C33" s="13" t="s">
        <v>195</v>
      </c>
      <c r="D33" s="8" t="n">
        <f aca="false">SUM(D14:D31)</f>
        <v>166.083333333333</v>
      </c>
    </row>
    <row r="34" customFormat="false" ht="15" hidden="false" customHeight="false" outlineLevel="0" collapsed="false">
      <c r="C34" s="13" t="s">
        <v>196</v>
      </c>
      <c r="D34" s="8" t="n">
        <f aca="false">'⚙️ Settings'!$D$7-D33</f>
        <v>1.91666666666666</v>
      </c>
    </row>
    <row r="35" customFormat="false" ht="15" hidden="false" customHeight="false" outlineLevel="0" collapsed="false">
      <c r="C35" s="13" t="s">
        <v>197</v>
      </c>
      <c r="D35" s="8" t="n">
        <f aca="false">SUMPRODUCT(--(G14:G31=TRUE()),D14:D31)</f>
        <v>63</v>
      </c>
    </row>
  </sheetData>
  <mergeCells count="6">
    <mergeCell ref="B5:J5"/>
    <mergeCell ref="B6:C6"/>
    <mergeCell ref="B7:C7"/>
    <mergeCell ref="B8:C8"/>
    <mergeCell ref="B9:C9"/>
    <mergeCell ref="B12:J12"/>
  </mergeCells>
  <conditionalFormatting sqref="D14:D31">
    <cfRule type="expression" priority="2" aboveAverage="0" equalAverage="0" bottom="0" percent="0" rank="0" text="" dxfId="0">
      <formula>AND($I14&lt;&gt;"",$D14&gt;$I14)</formula>
    </cfRule>
    <cfRule type="expression" priority="3" aboveAverage="0" equalAverage="0" bottom="0" percent="0" rank="0" text="" dxfId="1">
      <formula>AND($H14&lt;&gt;"",$D14&lt;$H14)</formula>
    </cfRule>
  </conditionalFormatting>
  <conditionalFormatting sqref="D34">
    <cfRule type="expression" priority="4" aboveAverage="0" equalAverage="0" bottom="0" percent="0" rank="0" text="" dxfId="0">
      <formula>$D$34&lt;0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10" min="4" style="0" width="7"/>
    <col collapsed="false" customWidth="true" hidden="false" outlineLevel="0" max="11" min="11" style="0" width="10"/>
    <col collapsed="false" customWidth="true" hidden="false" outlineLevel="0" max="12" min="12" style="0" width="9"/>
  </cols>
  <sheetData>
    <row r="2" customFormat="false" ht="19.7" hidden="false" customHeight="false" outlineLevel="0" collapsed="false">
      <c r="B2" s="1" t="s">
        <v>198</v>
      </c>
    </row>
    <row r="3" customFormat="false" ht="15" hidden="false" customHeight="false" outlineLevel="0" collapsed="false">
      <c r="B3" s="2" t="s">
        <v>199</v>
      </c>
    </row>
    <row r="5" customFormat="false" ht="15" hidden="false" customHeight="false" outlineLevel="0" collapsed="false">
      <c r="B5" s="19" t="s">
        <v>161</v>
      </c>
      <c r="C5" s="19" t="s">
        <v>200</v>
      </c>
      <c r="D5" s="19" t="s">
        <v>201</v>
      </c>
      <c r="E5" s="19" t="s">
        <v>202</v>
      </c>
      <c r="F5" s="19" t="s">
        <v>203</v>
      </c>
      <c r="G5" s="19" t="s">
        <v>204</v>
      </c>
      <c r="H5" s="19" t="s">
        <v>205</v>
      </c>
      <c r="I5" s="19" t="s">
        <v>206</v>
      </c>
      <c r="J5" s="19" t="s">
        <v>207</v>
      </c>
      <c r="K5" s="19" t="s">
        <v>208</v>
      </c>
      <c r="L5" s="19" t="s">
        <v>209</v>
      </c>
    </row>
    <row r="6" customFormat="false" ht="15" hidden="false" customHeight="false" outlineLevel="0" collapsed="false">
      <c r="B6" s="21" t="str">
        <f aca="false">IF('⚙️ Settings'!C14="","",'⚙️ Settings'!B14&amp;"  "&amp;'⚙️ Settings'!C14)</f>
        <v>😴  Sleep</v>
      </c>
      <c r="C6" s="31" t="n">
        <f aca="false">IF($B6="","",'⚙️ Settings'!D14/7)</f>
        <v>8.16666666666667</v>
      </c>
      <c r="D6" s="32"/>
      <c r="E6" s="32"/>
      <c r="F6" s="32"/>
      <c r="G6" s="32"/>
      <c r="H6" s="32"/>
      <c r="I6" s="32"/>
      <c r="J6" s="32"/>
      <c r="K6" s="22" t="n">
        <f aca="false">IF($B6="","",SUM(D6:J6))</f>
        <v>0</v>
      </c>
      <c r="L6" s="24" t="n">
        <f aca="false">IF($B6="","",K6-'⚙️ Settings'!D14)</f>
        <v>-57.1666666666667</v>
      </c>
    </row>
    <row r="7" customFormat="false" ht="15" hidden="false" customHeight="false" outlineLevel="0" collapsed="false">
      <c r="B7" s="21" t="str">
        <f aca="false">IF('⚙️ Settings'!C15="","",'⚙️ Settings'!B15&amp;"  "&amp;'⚙️ Settings'!C15)</f>
        <v>💻  Work</v>
      </c>
      <c r="C7" s="31" t="n">
        <f aca="false">IF($B7="","",'⚙️ Settings'!D15/7)</f>
        <v>7.57142857142857</v>
      </c>
      <c r="D7" s="32"/>
      <c r="E7" s="32"/>
      <c r="F7" s="32"/>
      <c r="G7" s="32"/>
      <c r="H7" s="32"/>
      <c r="I7" s="32"/>
      <c r="J7" s="32"/>
      <c r="K7" s="22" t="n">
        <f aca="false">IF($B7="","",SUM(D7:J7))</f>
        <v>0</v>
      </c>
      <c r="L7" s="24" t="n">
        <f aca="false">IF($B7="","",K7-'⚙️ Settings'!D15)</f>
        <v>-53</v>
      </c>
    </row>
    <row r="8" customFormat="false" ht="15" hidden="false" customHeight="false" outlineLevel="0" collapsed="false">
      <c r="B8" s="21" t="str">
        <f aca="false">IF('⚙️ Settings'!C16="","",'⚙️ Settings'!B16&amp;"  "&amp;'⚙️ Settings'!C16)</f>
        <v>🍕  Food</v>
      </c>
      <c r="C8" s="31" t="n">
        <f aca="false">IF($B8="","",'⚙️ Settings'!D16/7)</f>
        <v>0.845238095238095</v>
      </c>
      <c r="D8" s="32"/>
      <c r="E8" s="32"/>
      <c r="F8" s="32"/>
      <c r="G8" s="32"/>
      <c r="H8" s="32"/>
      <c r="I8" s="32"/>
      <c r="J8" s="32"/>
      <c r="K8" s="22" t="n">
        <f aca="false">IF($B8="","",SUM(D8:J8))</f>
        <v>0</v>
      </c>
      <c r="L8" s="24" t="n">
        <f aca="false">IF($B8="","",K8-'⚙️ Settings'!D16)</f>
        <v>-5.91666666666667</v>
      </c>
    </row>
    <row r="9" customFormat="false" ht="15" hidden="false" customHeight="false" outlineLevel="0" collapsed="false">
      <c r="B9" s="21" t="str">
        <f aca="false">IF('⚙️ Settings'!C17="","",'⚙️ Settings'!B17&amp;"  "&amp;'⚙️ Settings'!C17)</f>
        <v>🧹  Household Chores</v>
      </c>
      <c r="C9" s="31" t="n">
        <f aca="false">IF($B9="","",'⚙️ Settings'!D17/7)</f>
        <v>0.857142857142857</v>
      </c>
      <c r="D9" s="32"/>
      <c r="E9" s="32"/>
      <c r="F9" s="32"/>
      <c r="G9" s="32"/>
      <c r="H9" s="32"/>
      <c r="I9" s="32"/>
      <c r="J9" s="32"/>
      <c r="K9" s="22" t="n">
        <f aca="false">IF($B9="","",SUM(D9:J9))</f>
        <v>0</v>
      </c>
      <c r="L9" s="24" t="n">
        <f aca="false">IF($B9="","",K9-'⚙️ Settings'!D17)</f>
        <v>-6</v>
      </c>
    </row>
    <row r="10" customFormat="false" ht="15" hidden="false" customHeight="false" outlineLevel="0" collapsed="false">
      <c r="B10" s="21" t="str">
        <f aca="false">IF('⚙️ Settings'!C18="","",'⚙️ Settings'!B18&amp;"  "&amp;'⚙️ Settings'!C18)</f>
        <v>👶  Childcare</v>
      </c>
      <c r="C10" s="31" t="n">
        <f aca="false">IF($B10="","",'⚙️ Settings'!D18/7)</f>
        <v>2.28571428571429</v>
      </c>
      <c r="D10" s="32"/>
      <c r="E10" s="32"/>
      <c r="F10" s="32"/>
      <c r="G10" s="32"/>
      <c r="H10" s="32"/>
      <c r="I10" s="32"/>
      <c r="J10" s="32"/>
      <c r="K10" s="22" t="n">
        <f aca="false">IF($B10="","",SUM(D10:J10))</f>
        <v>0</v>
      </c>
      <c r="L10" s="24" t="n">
        <f aca="false">IF($B10="","",K10-'⚙️ Settings'!D18)</f>
        <v>-16</v>
      </c>
    </row>
    <row r="11" customFormat="false" ht="15" hidden="false" customHeight="false" outlineLevel="0" collapsed="false">
      <c r="B11" s="21" t="str">
        <f aca="false">IF('⚙️ Settings'!C19="","",'⚙️ Settings'!B19&amp;"  "&amp;'⚙️ Settings'!C19)</f>
        <v>🏋️  Fitness</v>
      </c>
      <c r="C11" s="31" t="n">
        <f aca="false">IF($B11="","",'⚙️ Settings'!D19/7)</f>
        <v>1.42857142857143</v>
      </c>
      <c r="D11" s="32"/>
      <c r="E11" s="32"/>
      <c r="F11" s="32"/>
      <c r="G11" s="32"/>
      <c r="H11" s="32"/>
      <c r="I11" s="32"/>
      <c r="J11" s="32"/>
      <c r="K11" s="22" t="n">
        <f aca="false">IF($B11="","",SUM(D11:J11))</f>
        <v>0</v>
      </c>
      <c r="L11" s="24" t="n">
        <f aca="false">IF($B11="","",K11-'⚙️ Settings'!D19)</f>
        <v>-10</v>
      </c>
    </row>
    <row r="12" customFormat="false" ht="15" hidden="false" customHeight="false" outlineLevel="0" collapsed="false">
      <c r="B12" s="21" t="str">
        <f aca="false">IF('⚙️ Settings'!C20="","",'⚙️ Settings'!B20&amp;"  "&amp;'⚙️ Settings'!C20)</f>
        <v>📺  Entertainment</v>
      </c>
      <c r="C12" s="31" t="n">
        <f aca="false">IF($B12="","",'⚙️ Settings'!D20/7)</f>
        <v>1.71428571428571</v>
      </c>
      <c r="D12" s="32"/>
      <c r="E12" s="32"/>
      <c r="F12" s="32"/>
      <c r="G12" s="32"/>
      <c r="H12" s="32"/>
      <c r="I12" s="32"/>
      <c r="J12" s="32"/>
      <c r="K12" s="22" t="n">
        <f aca="false">IF($B12="","",SUM(D12:J12))</f>
        <v>0</v>
      </c>
      <c r="L12" s="24" t="n">
        <f aca="false">IF($B12="","",K12-'⚙️ Settings'!D20)</f>
        <v>-12</v>
      </c>
    </row>
    <row r="13" customFormat="false" ht="15" hidden="false" customHeight="false" outlineLevel="0" collapsed="false">
      <c r="B13" s="21" t="str">
        <f aca="false">IF('⚙️ Settings'!C21="","",'⚙️ Settings'!B21&amp;"  "&amp;'⚙️ Settings'!C21)</f>
        <v>👨‍👩‍👧  Relationships</v>
      </c>
      <c r="C13" s="31" t="n">
        <f aca="false">IF($B13="","",'⚙️ Settings'!D21/7)</f>
        <v>0.857142857142857</v>
      </c>
      <c r="D13" s="32"/>
      <c r="E13" s="32"/>
      <c r="F13" s="32"/>
      <c r="G13" s="32"/>
      <c r="H13" s="32"/>
      <c r="I13" s="32"/>
      <c r="J13" s="32"/>
      <c r="K13" s="22" t="n">
        <f aca="false">IF($B13="","",SUM(D13:J13))</f>
        <v>0</v>
      </c>
      <c r="L13" s="24" t="n">
        <f aca="false">IF($B13="","",K13-'⚙️ Settings'!D21)</f>
        <v>-6</v>
      </c>
    </row>
    <row r="14" customFormat="false" ht="15" hidden="false" customHeight="false" outlineLevel="0" collapsed="false">
      <c r="B14" s="21" t="str">
        <f aca="false">IF('⚙️ Settings'!C22="","",'⚙️ Settings'!B22&amp;"  "&amp;'⚙️ Settings'!C22)</f>
        <v>📚  Learning</v>
      </c>
      <c r="C14" s="31" t="n">
        <f aca="false">IF($B14="","",'⚙️ Settings'!D22/7)</f>
        <v>0</v>
      </c>
      <c r="D14" s="32"/>
      <c r="E14" s="32"/>
      <c r="F14" s="32"/>
      <c r="G14" s="32"/>
      <c r="H14" s="32"/>
      <c r="I14" s="32"/>
      <c r="J14" s="32"/>
      <c r="K14" s="22" t="n">
        <f aca="false">IF($B14="","",SUM(D14:J14))</f>
        <v>0</v>
      </c>
      <c r="L14" s="24" t="n">
        <f aca="false">IF($B14="","",K14-'⚙️ Settings'!D22)</f>
        <v>0</v>
      </c>
    </row>
    <row r="15" customFormat="false" ht="15" hidden="false" customHeight="false" outlineLevel="0" collapsed="false">
      <c r="B15" s="21" t="str">
        <f aca="false">IF('⚙️ Settings'!C23="","",'⚙️ Settings'!B23&amp;"  "&amp;'⚙️ Settings'!C23)</f>
        <v>🌱  Personal Development</v>
      </c>
      <c r="C15" s="31" t="n">
        <f aca="false">IF($B15="","",'⚙️ Settings'!D23/7)</f>
        <v>0</v>
      </c>
      <c r="D15" s="32"/>
      <c r="E15" s="32"/>
      <c r="F15" s="32"/>
      <c r="G15" s="32"/>
      <c r="H15" s="32"/>
      <c r="I15" s="32"/>
      <c r="J15" s="32"/>
      <c r="K15" s="22" t="n">
        <f aca="false">IF($B15="","",SUM(D15:J15))</f>
        <v>0</v>
      </c>
      <c r="L15" s="24" t="n">
        <f aca="false">IF($B15="","",K15-'⚙️ Settings'!D23)</f>
        <v>0</v>
      </c>
    </row>
    <row r="16" customFormat="false" ht="15" hidden="false" customHeight="false" outlineLevel="0" collapsed="false">
      <c r="B16" s="21" t="str">
        <f aca="false">IF('⚙️ Settings'!C24="","",'⚙️ Settings'!B24&amp;"  "&amp;'⚙️ Settings'!C24)</f>
        <v>🙏  Spiritual</v>
      </c>
      <c r="C16" s="31" t="n">
        <f aca="false">IF($B16="","",'⚙️ Settings'!D24/7)</f>
        <v>0</v>
      </c>
      <c r="D16" s="32"/>
      <c r="E16" s="32"/>
      <c r="F16" s="32"/>
      <c r="G16" s="32"/>
      <c r="H16" s="32"/>
      <c r="I16" s="32"/>
      <c r="J16" s="32"/>
      <c r="K16" s="22" t="n">
        <f aca="false">IF($B16="","",SUM(D16:J16))</f>
        <v>0</v>
      </c>
      <c r="L16" s="24" t="n">
        <f aca="false">IF($B16="","",K16-'⚙️ Settings'!D24)</f>
        <v>0</v>
      </c>
    </row>
    <row r="17" customFormat="false" ht="15" hidden="false" customHeight="false" outlineLevel="0" collapsed="false">
      <c r="B17" s="21" t="str">
        <f aca="false">IF('⚙️ Settings'!C25="","",'⚙️ Settings'!B25&amp;"  "&amp;'⚙️ Settings'!C25)</f>
        <v>🚗  Travel</v>
      </c>
      <c r="C17" s="31" t="n">
        <f aca="false">IF($B17="","",'⚙️ Settings'!D25/7)</f>
        <v>0</v>
      </c>
      <c r="D17" s="32"/>
      <c r="E17" s="32"/>
      <c r="F17" s="32"/>
      <c r="G17" s="32"/>
      <c r="H17" s="32"/>
      <c r="I17" s="32"/>
      <c r="J17" s="32"/>
      <c r="K17" s="22" t="n">
        <f aca="false">IF($B17="","",SUM(D17:J17))</f>
        <v>0</v>
      </c>
      <c r="L17" s="24" t="n">
        <f aca="false">IF($B17="","",K17-'⚙️ Settings'!D25)</f>
        <v>0</v>
      </c>
    </row>
    <row r="18" customFormat="false" ht="15" hidden="false" customHeight="false" outlineLevel="0" collapsed="false">
      <c r="B18" s="21" t="str">
        <f aca="false">IF('⚙️ Settings'!C26="","",'⚙️ Settings'!B26&amp;"  "&amp;'⚙️ Settings'!C26)</f>
        <v>🗂️  Admin</v>
      </c>
      <c r="C18" s="31" t="n">
        <f aca="false">IF($B18="","",'⚙️ Settings'!D26/7)</f>
        <v>0</v>
      </c>
      <c r="D18" s="32"/>
      <c r="E18" s="32"/>
      <c r="F18" s="32"/>
      <c r="G18" s="32"/>
      <c r="H18" s="32"/>
      <c r="I18" s="32"/>
      <c r="J18" s="32"/>
      <c r="K18" s="22" t="n">
        <f aca="false">IF($B18="","",SUM(D18:J18))</f>
        <v>0</v>
      </c>
      <c r="L18" s="24" t="n">
        <f aca="false">IF($B18="","",K18-'⚙️ Settings'!D26)</f>
        <v>0</v>
      </c>
    </row>
    <row r="19" customFormat="false" ht="15" hidden="false" customHeight="false" outlineLevel="0" collapsed="false">
      <c r="B19" s="21" t="str">
        <f aca="false">IF('⚙️ Settings'!C27="","",'⚙️ Settings'!B27&amp;"  "&amp;'⚙️ Settings'!C27)</f>
        <v/>
      </c>
      <c r="C19" s="31" t="str">
        <f aca="false">IF($B19="","",'⚙️ Settings'!D27/7)</f>
        <v/>
      </c>
      <c r="D19" s="32"/>
      <c r="E19" s="32"/>
      <c r="F19" s="32"/>
      <c r="G19" s="32"/>
      <c r="H19" s="32"/>
      <c r="I19" s="32"/>
      <c r="J19" s="32"/>
      <c r="K19" s="22" t="str">
        <f aca="false">IF($B19="","",SUM(D19:J19))</f>
        <v/>
      </c>
      <c r="L19" s="24" t="str">
        <f aca="false">IF($B19="","",K19-'⚙️ Settings'!D27)</f>
        <v/>
      </c>
    </row>
    <row r="20" customFormat="false" ht="15" hidden="false" customHeight="false" outlineLevel="0" collapsed="false">
      <c r="B20" s="21" t="str">
        <f aca="false">IF('⚙️ Settings'!C28="","",'⚙️ Settings'!B28&amp;"  "&amp;'⚙️ Settings'!C28)</f>
        <v/>
      </c>
      <c r="C20" s="31" t="str">
        <f aca="false">IF($B20="","",'⚙️ Settings'!D28/7)</f>
        <v/>
      </c>
      <c r="D20" s="32"/>
      <c r="E20" s="32"/>
      <c r="F20" s="32"/>
      <c r="G20" s="32"/>
      <c r="H20" s="32"/>
      <c r="I20" s="32"/>
      <c r="J20" s="32"/>
      <c r="K20" s="22" t="str">
        <f aca="false">IF($B20="","",SUM(D20:J20))</f>
        <v/>
      </c>
      <c r="L20" s="24" t="str">
        <f aca="false">IF($B20="","",K20-'⚙️ Settings'!D28)</f>
        <v/>
      </c>
    </row>
    <row r="21" customFormat="false" ht="15" hidden="false" customHeight="false" outlineLevel="0" collapsed="false">
      <c r="B21" s="21" t="str">
        <f aca="false">IF('⚙️ Settings'!C29="","",'⚙️ Settings'!B29&amp;"  "&amp;'⚙️ Settings'!C29)</f>
        <v/>
      </c>
      <c r="C21" s="31" t="str">
        <f aca="false">IF($B21="","",'⚙️ Settings'!D29/7)</f>
        <v/>
      </c>
      <c r="D21" s="32"/>
      <c r="E21" s="32"/>
      <c r="F21" s="32"/>
      <c r="G21" s="32"/>
      <c r="H21" s="32"/>
      <c r="I21" s="32"/>
      <c r="J21" s="32"/>
      <c r="K21" s="22" t="str">
        <f aca="false">IF($B21="","",SUM(D21:J21))</f>
        <v/>
      </c>
      <c r="L21" s="24" t="str">
        <f aca="false">IF($B21="","",K21-'⚙️ Settings'!D29)</f>
        <v/>
      </c>
    </row>
    <row r="22" customFormat="false" ht="15" hidden="false" customHeight="false" outlineLevel="0" collapsed="false">
      <c r="B22" s="21" t="str">
        <f aca="false">IF('⚙️ Settings'!C30="","",'⚙️ Settings'!B30&amp;"  "&amp;'⚙️ Settings'!C30)</f>
        <v/>
      </c>
      <c r="C22" s="31" t="str">
        <f aca="false">IF($B22="","",'⚙️ Settings'!D30/7)</f>
        <v/>
      </c>
      <c r="D22" s="32"/>
      <c r="E22" s="32"/>
      <c r="F22" s="32"/>
      <c r="G22" s="32"/>
      <c r="H22" s="32"/>
      <c r="I22" s="32"/>
      <c r="J22" s="32"/>
      <c r="K22" s="22" t="str">
        <f aca="false">IF($B22="","",SUM(D22:J22))</f>
        <v/>
      </c>
      <c r="L22" s="24" t="str">
        <f aca="false">IF($B22="","",K22-'⚙️ Settings'!D30)</f>
        <v/>
      </c>
    </row>
    <row r="23" customFormat="false" ht="15" hidden="false" customHeight="false" outlineLevel="0" collapsed="false">
      <c r="B23" s="21" t="str">
        <f aca="false">IF('⚙️ Settings'!C31="","",'⚙️ Settings'!B31&amp;"  "&amp;'⚙️ Settings'!C31)</f>
        <v/>
      </c>
      <c r="C23" s="31" t="str">
        <f aca="false">IF($B23="","",'⚙️ Settings'!D31/7)</f>
        <v/>
      </c>
      <c r="D23" s="32"/>
      <c r="E23" s="32"/>
      <c r="F23" s="32"/>
      <c r="G23" s="32"/>
      <c r="H23" s="32"/>
      <c r="I23" s="32"/>
      <c r="J23" s="32"/>
      <c r="K23" s="22" t="str">
        <f aca="false">IF($B23="","",SUM(D23:J23))</f>
        <v/>
      </c>
      <c r="L23" s="24" t="str">
        <f aca="false">IF($B23="","",K23-'⚙️ Settings'!D31)</f>
        <v/>
      </c>
    </row>
    <row r="24" customFormat="false" ht="15" hidden="false" customHeight="false" outlineLevel="0" collapsed="false">
      <c r="B24" s="13" t="s">
        <v>210</v>
      </c>
      <c r="D24" s="8" t="n">
        <f aca="false">SUM(D6:D23)</f>
        <v>0</v>
      </c>
      <c r="E24" s="8" t="n">
        <f aca="false">SUM(E6:E23)</f>
        <v>0</v>
      </c>
      <c r="F24" s="8" t="n">
        <f aca="false">SUM(F6:F23)</f>
        <v>0</v>
      </c>
      <c r="G24" s="8" t="n">
        <f aca="false">SUM(G6:G23)</f>
        <v>0</v>
      </c>
      <c r="H24" s="8" t="n">
        <f aca="false">SUM(H6:H23)</f>
        <v>0</v>
      </c>
      <c r="I24" s="8" t="n">
        <f aca="false">SUM(I6:I23)</f>
        <v>0</v>
      </c>
      <c r="J24" s="8" t="n">
        <f aca="false">SUM(J6:J23)</f>
        <v>0</v>
      </c>
      <c r="K24" s="8" t="n">
        <f aca="false">SUM(K6:K23)</f>
        <v>0</v>
      </c>
    </row>
    <row r="25" customFormat="false" ht="15" hidden="false" customHeight="false" outlineLevel="0" collapsed="false">
      <c r="B25" s="7" t="s">
        <v>211</v>
      </c>
      <c r="D25" s="33" t="n">
        <f aca="false">24-D24</f>
        <v>24</v>
      </c>
      <c r="E25" s="33" t="n">
        <f aca="false">24-E24</f>
        <v>24</v>
      </c>
      <c r="F25" s="33" t="n">
        <f aca="false">24-F24</f>
        <v>24</v>
      </c>
      <c r="G25" s="33" t="n">
        <f aca="false">24-G24</f>
        <v>24</v>
      </c>
      <c r="H25" s="33" t="n">
        <f aca="false">24-H24</f>
        <v>24</v>
      </c>
      <c r="I25" s="33" t="n">
        <f aca="false">24-I24</f>
        <v>24</v>
      </c>
      <c r="J25" s="33" t="n">
        <f aca="false">24-J24</f>
        <v>24</v>
      </c>
      <c r="K25" s="33" t="n">
        <f aca="false">'⚙️ Settings'!$D$7-K24</f>
        <v>168</v>
      </c>
    </row>
  </sheetData>
  <conditionalFormatting sqref="D24:J24">
    <cfRule type="expression" priority="2" aboveAverage="0" equalAverage="0" bottom="0" percent="0" rank="0" text="" dxfId="0">
      <formula>D24&gt;24</formula>
    </cfRule>
    <cfRule type="expression" priority="3" aboveAverage="0" equalAverage="0" bottom="0" percent="0" rank="0" text="" dxfId="1">
      <formula>D24&gt;18</formula>
    </cfRule>
  </conditionalFormatting>
  <dataValidations count="1">
    <dataValidation allowBlank="true" error="Hours must be 0–24." errorStyle="stop" operator="between" showDropDown="false" showErrorMessage="true" showInputMessage="false" sqref="D6:J23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7" min="6" style="0" width="10"/>
  </cols>
  <sheetData>
    <row r="2" customFormat="false" ht="19.7" hidden="false" customHeight="false" outlineLevel="0" collapsed="false">
      <c r="B2" s="1" t="s">
        <v>212</v>
      </c>
    </row>
    <row r="3" customFormat="false" ht="15" hidden="false" customHeight="false" outlineLevel="0" collapsed="false">
      <c r="B3" s="2" t="s">
        <v>213</v>
      </c>
    </row>
    <row r="5" customFormat="false" ht="15" hidden="false" customHeight="false" outlineLevel="0" collapsed="false">
      <c r="B5" s="19" t="s">
        <v>161</v>
      </c>
      <c r="C5" s="19" t="s">
        <v>214</v>
      </c>
      <c r="D5" s="19" t="s">
        <v>215</v>
      </c>
      <c r="E5" s="19" t="s">
        <v>216</v>
      </c>
      <c r="F5" s="19" t="s">
        <v>217</v>
      </c>
      <c r="G5" s="19" t="s">
        <v>163</v>
      </c>
    </row>
    <row r="6" customFormat="false" ht="15" hidden="false" customHeight="false" outlineLevel="0" collapsed="false">
      <c r="B6" s="21" t="str">
        <f aca="false">IF('⚙️ Settings'!C14="","",'⚙️ Settings'!B14&amp;"  "&amp;'⚙️ Settings'!C14)</f>
        <v>😴  Sleep</v>
      </c>
      <c r="C6" s="24" t="n">
        <f aca="false">IF($B6="","",'⚙️ Settings'!D14)</f>
        <v>57.1666666666667</v>
      </c>
      <c r="D6" s="22" t="n">
        <f aca="false">IF($B6="","",'📅 Daily Tracker'!K6)</f>
        <v>0</v>
      </c>
      <c r="E6" s="24" t="n">
        <f aca="false">IF($B6="","",D6-C6)</f>
        <v>-57.1666666666667</v>
      </c>
      <c r="F6" s="34" t="n">
        <f aca="false">IF(OR($B6="",C6=0),"",D6/C6)</f>
        <v>0</v>
      </c>
      <c r="G6" s="35" t="n">
        <f aca="false">IF($B6="","",C6/'⚙️ Settings'!$D$7)</f>
        <v>0.340277777777778</v>
      </c>
    </row>
    <row r="7" customFormat="false" ht="15" hidden="false" customHeight="false" outlineLevel="0" collapsed="false">
      <c r="B7" s="21" t="str">
        <f aca="false">IF('⚙️ Settings'!C15="","",'⚙️ Settings'!B15&amp;"  "&amp;'⚙️ Settings'!C15)</f>
        <v>💻  Work</v>
      </c>
      <c r="C7" s="24" t="n">
        <f aca="false">IF($B7="","",'⚙️ Settings'!D15)</f>
        <v>53</v>
      </c>
      <c r="D7" s="22" t="n">
        <f aca="false">IF($B7="","",'📅 Daily Tracker'!K7)</f>
        <v>0</v>
      </c>
      <c r="E7" s="24" t="n">
        <f aca="false">IF($B7="","",D7-C7)</f>
        <v>-53</v>
      </c>
      <c r="F7" s="34" t="n">
        <f aca="false">IF(OR($B7="",C7=0),"",D7/C7)</f>
        <v>0</v>
      </c>
      <c r="G7" s="35" t="n">
        <f aca="false">IF($B7="","",C7/'⚙️ Settings'!$D$7)</f>
        <v>0.31547619047619</v>
      </c>
    </row>
    <row r="8" customFormat="false" ht="15" hidden="false" customHeight="false" outlineLevel="0" collapsed="false">
      <c r="B8" s="21" t="str">
        <f aca="false">IF('⚙️ Settings'!C16="","",'⚙️ Settings'!B16&amp;"  "&amp;'⚙️ Settings'!C16)</f>
        <v>🍕  Food</v>
      </c>
      <c r="C8" s="24" t="n">
        <f aca="false">IF($B8="","",'⚙️ Settings'!D16)</f>
        <v>5.91666666666667</v>
      </c>
      <c r="D8" s="22" t="n">
        <f aca="false">IF($B8="","",'📅 Daily Tracker'!K8)</f>
        <v>0</v>
      </c>
      <c r="E8" s="24" t="n">
        <f aca="false">IF($B8="","",D8-C8)</f>
        <v>-5.91666666666667</v>
      </c>
      <c r="F8" s="34" t="n">
        <f aca="false">IF(OR($B8="",C8=0),"",D8/C8)</f>
        <v>0</v>
      </c>
      <c r="G8" s="35" t="n">
        <f aca="false">IF($B8="","",C8/'⚙️ Settings'!$D$7)</f>
        <v>0.035218253968254</v>
      </c>
    </row>
    <row r="9" customFormat="false" ht="15" hidden="false" customHeight="false" outlineLevel="0" collapsed="false">
      <c r="B9" s="21" t="str">
        <f aca="false">IF('⚙️ Settings'!C17="","",'⚙️ Settings'!B17&amp;"  "&amp;'⚙️ Settings'!C17)</f>
        <v>🧹  Household Chores</v>
      </c>
      <c r="C9" s="24" t="n">
        <f aca="false">IF($B9="","",'⚙️ Settings'!D17)</f>
        <v>6</v>
      </c>
      <c r="D9" s="22" t="n">
        <f aca="false">IF($B9="","",'📅 Daily Tracker'!K9)</f>
        <v>0</v>
      </c>
      <c r="E9" s="24" t="n">
        <f aca="false">IF($B9="","",D9-C9)</f>
        <v>-6</v>
      </c>
      <c r="F9" s="34" t="n">
        <f aca="false">IF(OR($B9="",C9=0),"",D9/C9)</f>
        <v>0</v>
      </c>
      <c r="G9" s="35" t="n">
        <f aca="false">IF($B9="","",C9/'⚙️ Settings'!$D$7)</f>
        <v>0.0357142857142857</v>
      </c>
    </row>
    <row r="10" customFormat="false" ht="15" hidden="false" customHeight="false" outlineLevel="0" collapsed="false">
      <c r="B10" s="21" t="str">
        <f aca="false">IF('⚙️ Settings'!C18="","",'⚙️ Settings'!B18&amp;"  "&amp;'⚙️ Settings'!C18)</f>
        <v>👶  Childcare</v>
      </c>
      <c r="C10" s="24" t="n">
        <f aca="false">IF($B10="","",'⚙️ Settings'!D18)</f>
        <v>16</v>
      </c>
      <c r="D10" s="22" t="n">
        <f aca="false">IF($B10="","",'📅 Daily Tracker'!K10)</f>
        <v>0</v>
      </c>
      <c r="E10" s="24" t="n">
        <f aca="false">IF($B10="","",D10-C10)</f>
        <v>-16</v>
      </c>
      <c r="F10" s="34" t="n">
        <f aca="false">IF(OR($B10="",C10=0),"",D10/C10)</f>
        <v>0</v>
      </c>
      <c r="G10" s="35" t="n">
        <f aca="false">IF($B10="","",C10/'⚙️ Settings'!$D$7)</f>
        <v>0.0952380952380952</v>
      </c>
    </row>
    <row r="11" customFormat="false" ht="15" hidden="false" customHeight="false" outlineLevel="0" collapsed="false">
      <c r="B11" s="21" t="str">
        <f aca="false">IF('⚙️ Settings'!C19="","",'⚙️ Settings'!B19&amp;"  "&amp;'⚙️ Settings'!C19)</f>
        <v>🏋️  Fitness</v>
      </c>
      <c r="C11" s="24" t="n">
        <f aca="false">IF($B11="","",'⚙️ Settings'!D19)</f>
        <v>10</v>
      </c>
      <c r="D11" s="22" t="n">
        <f aca="false">IF($B11="","",'📅 Daily Tracker'!K11)</f>
        <v>0</v>
      </c>
      <c r="E11" s="24" t="n">
        <f aca="false">IF($B11="","",D11-C11)</f>
        <v>-10</v>
      </c>
      <c r="F11" s="34" t="n">
        <f aca="false">IF(OR($B11="",C11=0),"",D11/C11)</f>
        <v>0</v>
      </c>
      <c r="G11" s="35" t="n">
        <f aca="false">IF($B11="","",C11/'⚙️ Settings'!$D$7)</f>
        <v>0.0595238095238095</v>
      </c>
    </row>
    <row r="12" customFormat="false" ht="15" hidden="false" customHeight="false" outlineLevel="0" collapsed="false">
      <c r="B12" s="21" t="str">
        <f aca="false">IF('⚙️ Settings'!C20="","",'⚙️ Settings'!B20&amp;"  "&amp;'⚙️ Settings'!C20)</f>
        <v>📺  Entertainment</v>
      </c>
      <c r="C12" s="24" t="n">
        <f aca="false">IF($B12="","",'⚙️ Settings'!D20)</f>
        <v>12</v>
      </c>
      <c r="D12" s="22" t="n">
        <f aca="false">IF($B12="","",'📅 Daily Tracker'!K12)</f>
        <v>0</v>
      </c>
      <c r="E12" s="24" t="n">
        <f aca="false">IF($B12="","",D12-C12)</f>
        <v>-12</v>
      </c>
      <c r="F12" s="34" t="n">
        <f aca="false">IF(OR($B12="",C12=0),"",D12/C12)</f>
        <v>0</v>
      </c>
      <c r="G12" s="35" t="n">
        <f aca="false">IF($B12="","",C12/'⚙️ Settings'!$D$7)</f>
        <v>0.0714285714285714</v>
      </c>
    </row>
    <row r="13" customFormat="false" ht="15" hidden="false" customHeight="false" outlineLevel="0" collapsed="false">
      <c r="B13" s="21" t="str">
        <f aca="false">IF('⚙️ Settings'!C21="","",'⚙️ Settings'!B21&amp;"  "&amp;'⚙️ Settings'!C21)</f>
        <v>👨‍👩‍👧  Relationships</v>
      </c>
      <c r="C13" s="24" t="n">
        <f aca="false">IF($B13="","",'⚙️ Settings'!D21)</f>
        <v>6</v>
      </c>
      <c r="D13" s="22" t="n">
        <f aca="false">IF($B13="","",'📅 Daily Tracker'!K13)</f>
        <v>0</v>
      </c>
      <c r="E13" s="24" t="n">
        <f aca="false">IF($B13="","",D13-C13)</f>
        <v>-6</v>
      </c>
      <c r="F13" s="34" t="n">
        <f aca="false">IF(OR($B13="",C13=0),"",D13/C13)</f>
        <v>0</v>
      </c>
      <c r="G13" s="35" t="n">
        <f aca="false">IF($B13="","",C13/'⚙️ Settings'!$D$7)</f>
        <v>0.0357142857142857</v>
      </c>
    </row>
    <row r="14" customFormat="false" ht="15" hidden="false" customHeight="false" outlineLevel="0" collapsed="false">
      <c r="B14" s="21" t="str">
        <f aca="false">IF('⚙️ Settings'!C22="","",'⚙️ Settings'!B22&amp;"  "&amp;'⚙️ Settings'!C22)</f>
        <v>📚  Learning</v>
      </c>
      <c r="C14" s="24" t="n">
        <f aca="false">IF($B14="","",'⚙️ Settings'!D22)</f>
        <v>0</v>
      </c>
      <c r="D14" s="22" t="n">
        <f aca="false">IF($B14="","",'📅 Daily Tracker'!K14)</f>
        <v>0</v>
      </c>
      <c r="E14" s="24" t="n">
        <f aca="false">IF($B14="","",D14-C14)</f>
        <v>0</v>
      </c>
      <c r="F14" s="34" t="str">
        <f aca="false">IF(OR($B14="",C14=0),"",D14/C14)</f>
        <v/>
      </c>
      <c r="G14" s="35" t="n">
        <f aca="false">IF($B14="","",C14/'⚙️ Settings'!$D$7)</f>
        <v>0</v>
      </c>
    </row>
    <row r="15" customFormat="false" ht="15" hidden="false" customHeight="false" outlineLevel="0" collapsed="false">
      <c r="B15" s="21" t="str">
        <f aca="false">IF('⚙️ Settings'!C23="","",'⚙️ Settings'!B23&amp;"  "&amp;'⚙️ Settings'!C23)</f>
        <v>🌱  Personal Development</v>
      </c>
      <c r="C15" s="24" t="n">
        <f aca="false">IF($B15="","",'⚙️ Settings'!D23)</f>
        <v>0</v>
      </c>
      <c r="D15" s="22" t="n">
        <f aca="false">IF($B15="","",'📅 Daily Tracker'!K15)</f>
        <v>0</v>
      </c>
      <c r="E15" s="24" t="n">
        <f aca="false">IF($B15="","",D15-C15)</f>
        <v>0</v>
      </c>
      <c r="F15" s="34" t="str">
        <f aca="false">IF(OR($B15="",C15=0),"",D15/C15)</f>
        <v/>
      </c>
      <c r="G15" s="35" t="n">
        <f aca="false">IF($B15="","",C15/'⚙️ Settings'!$D$7)</f>
        <v>0</v>
      </c>
    </row>
    <row r="16" customFormat="false" ht="15" hidden="false" customHeight="false" outlineLevel="0" collapsed="false">
      <c r="B16" s="21" t="str">
        <f aca="false">IF('⚙️ Settings'!C24="","",'⚙️ Settings'!B24&amp;"  "&amp;'⚙️ Settings'!C24)</f>
        <v>🙏  Spiritual</v>
      </c>
      <c r="C16" s="24" t="n">
        <f aca="false">IF($B16="","",'⚙️ Settings'!D24)</f>
        <v>0</v>
      </c>
      <c r="D16" s="22" t="n">
        <f aca="false">IF($B16="","",'📅 Daily Tracker'!K16)</f>
        <v>0</v>
      </c>
      <c r="E16" s="24" t="n">
        <f aca="false">IF($B16="","",D16-C16)</f>
        <v>0</v>
      </c>
      <c r="F16" s="34" t="str">
        <f aca="false">IF(OR($B16="",C16=0),"",D16/C16)</f>
        <v/>
      </c>
      <c r="G16" s="35" t="n">
        <f aca="false">IF($B16="","",C16/'⚙️ Settings'!$D$7)</f>
        <v>0</v>
      </c>
    </row>
    <row r="17" customFormat="false" ht="15" hidden="false" customHeight="false" outlineLevel="0" collapsed="false">
      <c r="B17" s="21" t="str">
        <f aca="false">IF('⚙️ Settings'!C25="","",'⚙️ Settings'!B25&amp;"  "&amp;'⚙️ Settings'!C25)</f>
        <v>🚗  Travel</v>
      </c>
      <c r="C17" s="24" t="n">
        <f aca="false">IF($B17="","",'⚙️ Settings'!D25)</f>
        <v>0</v>
      </c>
      <c r="D17" s="22" t="n">
        <f aca="false">IF($B17="","",'📅 Daily Tracker'!K17)</f>
        <v>0</v>
      </c>
      <c r="E17" s="24" t="n">
        <f aca="false">IF($B17="","",D17-C17)</f>
        <v>0</v>
      </c>
      <c r="F17" s="34" t="str">
        <f aca="false">IF(OR($B17="",C17=0),"",D17/C17)</f>
        <v/>
      </c>
      <c r="G17" s="35" t="n">
        <f aca="false">IF($B17="","",C17/'⚙️ Settings'!$D$7)</f>
        <v>0</v>
      </c>
    </row>
    <row r="18" customFormat="false" ht="15" hidden="false" customHeight="false" outlineLevel="0" collapsed="false">
      <c r="B18" s="21" t="str">
        <f aca="false">IF('⚙️ Settings'!C26="","",'⚙️ Settings'!B26&amp;"  "&amp;'⚙️ Settings'!C26)</f>
        <v>🗂️  Admin</v>
      </c>
      <c r="C18" s="24" t="n">
        <f aca="false">IF($B18="","",'⚙️ Settings'!D26)</f>
        <v>0</v>
      </c>
      <c r="D18" s="22" t="n">
        <f aca="false">IF($B18="","",'📅 Daily Tracker'!K18)</f>
        <v>0</v>
      </c>
      <c r="E18" s="24" t="n">
        <f aca="false">IF($B18="","",D18-C18)</f>
        <v>0</v>
      </c>
      <c r="F18" s="34" t="str">
        <f aca="false">IF(OR($B18="",C18=0),"",D18/C18)</f>
        <v/>
      </c>
      <c r="G18" s="35" t="n">
        <f aca="false">IF($B18="","",C18/'⚙️ Settings'!$D$7)</f>
        <v>0</v>
      </c>
    </row>
    <row r="19" customFormat="false" ht="15" hidden="false" customHeight="false" outlineLevel="0" collapsed="false">
      <c r="B19" s="21" t="str">
        <f aca="false">IF('⚙️ Settings'!C27="","",'⚙️ Settings'!B27&amp;"  "&amp;'⚙️ Settings'!C27)</f>
        <v/>
      </c>
      <c r="C19" s="24" t="str">
        <f aca="false">IF($B19="","",'⚙️ Settings'!D27)</f>
        <v/>
      </c>
      <c r="D19" s="22" t="str">
        <f aca="false">IF($B19="","",'📅 Daily Tracker'!K19)</f>
        <v/>
      </c>
      <c r="E19" s="24" t="str">
        <f aca="false">IF($B19="","",D19-C19)</f>
        <v/>
      </c>
      <c r="F19" s="34" t="str">
        <f aca="false">IF(OR($B19="",C19=0),"",D19/C19)</f>
        <v/>
      </c>
      <c r="G19" s="35" t="str">
        <f aca="false">IF($B19="","",C19/'⚙️ Settings'!$D$7)</f>
        <v/>
      </c>
    </row>
    <row r="20" customFormat="false" ht="15" hidden="false" customHeight="false" outlineLevel="0" collapsed="false">
      <c r="B20" s="21" t="str">
        <f aca="false">IF('⚙️ Settings'!C28="","",'⚙️ Settings'!B28&amp;"  "&amp;'⚙️ Settings'!C28)</f>
        <v/>
      </c>
      <c r="C20" s="24" t="str">
        <f aca="false">IF($B20="","",'⚙️ Settings'!D28)</f>
        <v/>
      </c>
      <c r="D20" s="22" t="str">
        <f aca="false">IF($B20="","",'📅 Daily Tracker'!K20)</f>
        <v/>
      </c>
      <c r="E20" s="24" t="str">
        <f aca="false">IF($B20="","",D20-C20)</f>
        <v/>
      </c>
      <c r="F20" s="34" t="str">
        <f aca="false">IF(OR($B20="",C20=0),"",D20/C20)</f>
        <v/>
      </c>
      <c r="G20" s="35" t="str">
        <f aca="false">IF($B20="","",C20/'⚙️ Settings'!$D$7)</f>
        <v/>
      </c>
    </row>
    <row r="21" customFormat="false" ht="15" hidden="false" customHeight="false" outlineLevel="0" collapsed="false">
      <c r="B21" s="21" t="str">
        <f aca="false">IF('⚙️ Settings'!C29="","",'⚙️ Settings'!B29&amp;"  "&amp;'⚙️ Settings'!C29)</f>
        <v/>
      </c>
      <c r="C21" s="24" t="str">
        <f aca="false">IF($B21="","",'⚙️ Settings'!D29)</f>
        <v/>
      </c>
      <c r="D21" s="22" t="str">
        <f aca="false">IF($B21="","",'📅 Daily Tracker'!K21)</f>
        <v/>
      </c>
      <c r="E21" s="24" t="str">
        <f aca="false">IF($B21="","",D21-C21)</f>
        <v/>
      </c>
      <c r="F21" s="34" t="str">
        <f aca="false">IF(OR($B21="",C21=0),"",D21/C21)</f>
        <v/>
      </c>
      <c r="G21" s="35" t="str">
        <f aca="false">IF($B21="","",C21/'⚙️ Settings'!$D$7)</f>
        <v/>
      </c>
    </row>
    <row r="22" customFormat="false" ht="15" hidden="false" customHeight="false" outlineLevel="0" collapsed="false">
      <c r="B22" s="21" t="str">
        <f aca="false">IF('⚙️ Settings'!C30="","",'⚙️ Settings'!B30&amp;"  "&amp;'⚙️ Settings'!C30)</f>
        <v/>
      </c>
      <c r="C22" s="24" t="str">
        <f aca="false">IF($B22="","",'⚙️ Settings'!D30)</f>
        <v/>
      </c>
      <c r="D22" s="22" t="str">
        <f aca="false">IF($B22="","",'📅 Daily Tracker'!K22)</f>
        <v/>
      </c>
      <c r="E22" s="24" t="str">
        <f aca="false">IF($B22="","",D22-C22)</f>
        <v/>
      </c>
      <c r="F22" s="34" t="str">
        <f aca="false">IF(OR($B22="",C22=0),"",D22/C22)</f>
        <v/>
      </c>
      <c r="G22" s="35" t="str">
        <f aca="false">IF($B22="","",C22/'⚙️ Settings'!$D$7)</f>
        <v/>
      </c>
    </row>
    <row r="23" customFormat="false" ht="15" hidden="false" customHeight="false" outlineLevel="0" collapsed="false">
      <c r="B23" s="21" t="str">
        <f aca="false">IF('⚙️ Settings'!C31="","",'⚙️ Settings'!B31&amp;"  "&amp;'⚙️ Settings'!C31)</f>
        <v/>
      </c>
      <c r="C23" s="24" t="str">
        <f aca="false">IF($B23="","",'⚙️ Settings'!D31)</f>
        <v/>
      </c>
      <c r="D23" s="22" t="str">
        <f aca="false">IF($B23="","",'📅 Daily Tracker'!K23)</f>
        <v/>
      </c>
      <c r="E23" s="24" t="str">
        <f aca="false">IF($B23="","",D23-C23)</f>
        <v/>
      </c>
      <c r="F23" s="34" t="str">
        <f aca="false">IF(OR($B23="",C23=0),"",D23/C23)</f>
        <v/>
      </c>
      <c r="G23" s="35" t="str">
        <f aca="false">IF($B23="","",C23/'⚙️ Settings'!$D$7)</f>
        <v/>
      </c>
    </row>
    <row r="25" customFormat="false" ht="15" hidden="false" customHeight="false" outlineLevel="0" collapsed="false">
      <c r="B25" s="13" t="s">
        <v>218</v>
      </c>
      <c r="C25" s="8" t="n">
        <f aca="false">SUM(C6:C23)</f>
        <v>166.083333333333</v>
      </c>
      <c r="D25" s="8" t="n">
        <f aca="false">SUM(D6:D23)</f>
        <v>0</v>
      </c>
    </row>
    <row r="26" customFormat="false" ht="15" hidden="false" customHeight="false" outlineLevel="0" collapsed="false">
      <c r="B26" s="13" t="s">
        <v>219</v>
      </c>
      <c r="C26" s="8" t="n">
        <f aca="false">'⚙️ Settings'!$D$7-C25</f>
        <v>1.91666666666666</v>
      </c>
      <c r="D26" s="8" t="n">
        <f aca="false">'⚙️ Settings'!$D$7-D25</f>
        <v>168</v>
      </c>
    </row>
    <row r="27" customFormat="false" ht="15" hidden="false" customHeight="false" outlineLevel="0" collapsed="false">
      <c r="B27" s="13" t="s">
        <v>220</v>
      </c>
      <c r="C27" s="36" t="n">
        <f aca="false">C25/'⚙️ Settings'!$D$7</f>
        <v>0.98859126984127</v>
      </c>
      <c r="D27" s="36" t="n">
        <f aca="false">D25/'⚙️ Settings'!$D$7</f>
        <v>0</v>
      </c>
    </row>
  </sheetData>
  <conditionalFormatting sqref="D6:D23">
    <cfRule type="dataBar" priority="2">
      <dataBar showValue="1" minLength="10" maxLength="90">
        <cfvo type="num" val="0"/>
        <cfvo type="num" val="60"/>
        <color rgb="FFF6A21D"/>
      </dataBar>
      <extLst>
        <ext xmlns:x14="http://schemas.microsoft.com/office/spreadsheetml/2009/9/main" uri="{B025F937-C7B1-47D3-B67F-A62EFF666E3E}">
          <x14:id>{F158A8AD-00EA-46AA-8DF1-54F5221C26C6}</x14:id>
        </ext>
      </extLst>
    </cfRule>
  </conditionalFormatting>
  <conditionalFormatting sqref="F6:F23">
    <cfRule type="expression" priority="3" aboveAverage="0" equalAverage="0" bottom="0" percent="0" rank="0" text="" dxfId="2">
      <formula>AND($B6&lt;&gt;"",$F6&lt;&gt;"",$F6&gt;1.2)</formula>
    </cfRule>
    <cfRule type="expression" priority="4" aboveAverage="0" equalAverage="0" bottom="0" percent="0" rank="0" text="" dxfId="3">
      <formula>AND($B6&lt;&gt;"",$F6&lt;&gt;"",$F6&lt;0.5)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58A8AD-00EA-46AA-8DF1-54F5221C26C6}">
            <x14:dataBar minLength="10" maxLength="90" axisPosition="none" gradient="true">
              <x14:cfvo type="num">
                <xm:f>0</xm:f>
              </x14:cfvo>
              <x14:cfvo type="num">
                <xm:f>60</xm:f>
              </x14:cfvo>
              <x14:negativeFillColor rgb="FFF6A21D"/>
              <x14:axisColor rgb="FF000000"/>
            </x14:dataBar>
          </x14:cfRule>
          <xm:sqref>D6:D23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</cols>
  <sheetData>
    <row r="2" customFormat="false" ht="19.7" hidden="false" customHeight="false" outlineLevel="0" collapsed="false">
      <c r="B2" s="1" t="s">
        <v>221</v>
      </c>
    </row>
    <row r="3" customFormat="false" ht="15" hidden="false" customHeight="false" outlineLevel="0" collapsed="false">
      <c r="B3" s="2" t="s">
        <v>222</v>
      </c>
    </row>
    <row r="5" customFormat="false" ht="15" hidden="false" customHeight="false" outlineLevel="0" collapsed="false">
      <c r="B5" s="19" t="s">
        <v>161</v>
      </c>
      <c r="C5" s="19" t="s">
        <v>223</v>
      </c>
      <c r="D5" s="19" t="s">
        <v>224</v>
      </c>
      <c r="E5" s="19" t="s">
        <v>225</v>
      </c>
      <c r="F5" s="19" t="s">
        <v>226</v>
      </c>
      <c r="G5" s="19" t="s">
        <v>227</v>
      </c>
    </row>
    <row r="6" customFormat="false" ht="15" hidden="false" customHeight="false" outlineLevel="0" collapsed="false">
      <c r="B6" s="21" t="str">
        <f aca="false">IF('⚙️ Settings'!C14="","",'⚙️ Settings'!B14&amp;"  "&amp;'⚙️ Settings'!C14)</f>
        <v>😴  Sleep</v>
      </c>
      <c r="C6" s="24" t="n">
        <f aca="false">IF($B6="","",'⚙️ Settings'!D14)</f>
        <v>57.1666666666667</v>
      </c>
      <c r="D6" s="22" t="n">
        <f aca="false">IF($B6="","",C6*'⚙️ Settings'!$D$8)</f>
        <v>228.666666666667</v>
      </c>
      <c r="E6" s="24" t="n">
        <f aca="false">IF($B6="","",'📈 Weekly Review'!D6*'⚙️ Settings'!$D$8)</f>
        <v>0</v>
      </c>
      <c r="F6" s="24" t="n">
        <f aca="false">IF($B6="","",E6-D6)</f>
        <v>-228.666666666667</v>
      </c>
      <c r="G6" s="35" t="n">
        <f aca="false">IF($B6="","",D6/('⚙️ Settings'!$D$7*'⚙️ Settings'!$D$8))</f>
        <v>0.340277777777778</v>
      </c>
    </row>
    <row r="7" customFormat="false" ht="15" hidden="false" customHeight="false" outlineLevel="0" collapsed="false">
      <c r="B7" s="21" t="str">
        <f aca="false">IF('⚙️ Settings'!C15="","",'⚙️ Settings'!B15&amp;"  "&amp;'⚙️ Settings'!C15)</f>
        <v>💻  Work</v>
      </c>
      <c r="C7" s="24" t="n">
        <f aca="false">IF($B7="","",'⚙️ Settings'!D15)</f>
        <v>53</v>
      </c>
      <c r="D7" s="22" t="n">
        <f aca="false">IF($B7="","",C7*'⚙️ Settings'!$D$8)</f>
        <v>212</v>
      </c>
      <c r="E7" s="24" t="n">
        <f aca="false">IF($B7="","",'📈 Weekly Review'!D7*'⚙️ Settings'!$D$8)</f>
        <v>0</v>
      </c>
      <c r="F7" s="24" t="n">
        <f aca="false">IF($B7="","",E7-D7)</f>
        <v>-212</v>
      </c>
      <c r="G7" s="35" t="n">
        <f aca="false">IF($B7="","",D7/('⚙️ Settings'!$D$7*'⚙️ Settings'!$D$8))</f>
        <v>0.31547619047619</v>
      </c>
    </row>
    <row r="8" customFormat="false" ht="15" hidden="false" customHeight="false" outlineLevel="0" collapsed="false">
      <c r="B8" s="21" t="str">
        <f aca="false">IF('⚙️ Settings'!C16="","",'⚙️ Settings'!B16&amp;"  "&amp;'⚙️ Settings'!C16)</f>
        <v>🍕  Food</v>
      </c>
      <c r="C8" s="24" t="n">
        <f aca="false">IF($B8="","",'⚙️ Settings'!D16)</f>
        <v>5.91666666666667</v>
      </c>
      <c r="D8" s="22" t="n">
        <f aca="false">IF($B8="","",C8*'⚙️ Settings'!$D$8)</f>
        <v>23.6666666666667</v>
      </c>
      <c r="E8" s="24" t="n">
        <f aca="false">IF($B8="","",'📈 Weekly Review'!D8*'⚙️ Settings'!$D$8)</f>
        <v>0</v>
      </c>
      <c r="F8" s="24" t="n">
        <f aca="false">IF($B8="","",E8-D8)</f>
        <v>-23.6666666666667</v>
      </c>
      <c r="G8" s="35" t="n">
        <f aca="false">IF($B8="","",D8/('⚙️ Settings'!$D$7*'⚙️ Settings'!$D$8))</f>
        <v>0.035218253968254</v>
      </c>
    </row>
    <row r="9" customFormat="false" ht="15" hidden="false" customHeight="false" outlineLevel="0" collapsed="false">
      <c r="B9" s="21" t="str">
        <f aca="false">IF('⚙️ Settings'!C17="","",'⚙️ Settings'!B17&amp;"  "&amp;'⚙️ Settings'!C17)</f>
        <v>🧹  Household Chores</v>
      </c>
      <c r="C9" s="24" t="n">
        <f aca="false">IF($B9="","",'⚙️ Settings'!D17)</f>
        <v>6</v>
      </c>
      <c r="D9" s="22" t="n">
        <f aca="false">IF($B9="","",C9*'⚙️ Settings'!$D$8)</f>
        <v>24</v>
      </c>
      <c r="E9" s="24" t="n">
        <f aca="false">IF($B9="","",'📈 Weekly Review'!D9*'⚙️ Settings'!$D$8)</f>
        <v>0</v>
      </c>
      <c r="F9" s="24" t="n">
        <f aca="false">IF($B9="","",E9-D9)</f>
        <v>-24</v>
      </c>
      <c r="G9" s="35" t="n">
        <f aca="false">IF($B9="","",D9/('⚙️ Settings'!$D$7*'⚙️ Settings'!$D$8))</f>
        <v>0.0357142857142857</v>
      </c>
    </row>
    <row r="10" customFormat="false" ht="15" hidden="false" customHeight="false" outlineLevel="0" collapsed="false">
      <c r="B10" s="21" t="str">
        <f aca="false">IF('⚙️ Settings'!C18="","",'⚙️ Settings'!B18&amp;"  "&amp;'⚙️ Settings'!C18)</f>
        <v>👶  Childcare</v>
      </c>
      <c r="C10" s="24" t="n">
        <f aca="false">IF($B10="","",'⚙️ Settings'!D18)</f>
        <v>16</v>
      </c>
      <c r="D10" s="22" t="n">
        <f aca="false">IF($B10="","",C10*'⚙️ Settings'!$D$8)</f>
        <v>64</v>
      </c>
      <c r="E10" s="24" t="n">
        <f aca="false">IF($B10="","",'📈 Weekly Review'!D10*'⚙️ Settings'!$D$8)</f>
        <v>0</v>
      </c>
      <c r="F10" s="24" t="n">
        <f aca="false">IF($B10="","",E10-D10)</f>
        <v>-64</v>
      </c>
      <c r="G10" s="35" t="n">
        <f aca="false">IF($B10="","",D10/('⚙️ Settings'!$D$7*'⚙️ Settings'!$D$8))</f>
        <v>0.0952380952380952</v>
      </c>
    </row>
    <row r="11" customFormat="false" ht="15" hidden="false" customHeight="false" outlineLevel="0" collapsed="false">
      <c r="B11" s="21" t="str">
        <f aca="false">IF('⚙️ Settings'!C19="","",'⚙️ Settings'!B19&amp;"  "&amp;'⚙️ Settings'!C19)</f>
        <v>🏋️  Fitness</v>
      </c>
      <c r="C11" s="24" t="n">
        <f aca="false">IF($B11="","",'⚙️ Settings'!D19)</f>
        <v>10</v>
      </c>
      <c r="D11" s="22" t="n">
        <f aca="false">IF($B11="","",C11*'⚙️ Settings'!$D$8)</f>
        <v>40</v>
      </c>
      <c r="E11" s="24" t="n">
        <f aca="false">IF($B11="","",'📈 Weekly Review'!D11*'⚙️ Settings'!$D$8)</f>
        <v>0</v>
      </c>
      <c r="F11" s="24" t="n">
        <f aca="false">IF($B11="","",E11-D11)</f>
        <v>-40</v>
      </c>
      <c r="G11" s="35" t="n">
        <f aca="false">IF($B11="","",D11/('⚙️ Settings'!$D$7*'⚙️ Settings'!$D$8))</f>
        <v>0.0595238095238095</v>
      </c>
    </row>
    <row r="12" customFormat="false" ht="15" hidden="false" customHeight="false" outlineLevel="0" collapsed="false">
      <c r="B12" s="21" t="str">
        <f aca="false">IF('⚙️ Settings'!C20="","",'⚙️ Settings'!B20&amp;"  "&amp;'⚙️ Settings'!C20)</f>
        <v>📺  Entertainment</v>
      </c>
      <c r="C12" s="24" t="n">
        <f aca="false">IF($B12="","",'⚙️ Settings'!D20)</f>
        <v>12</v>
      </c>
      <c r="D12" s="22" t="n">
        <f aca="false">IF($B12="","",C12*'⚙️ Settings'!$D$8)</f>
        <v>48</v>
      </c>
      <c r="E12" s="24" t="n">
        <f aca="false">IF($B12="","",'📈 Weekly Review'!D12*'⚙️ Settings'!$D$8)</f>
        <v>0</v>
      </c>
      <c r="F12" s="24" t="n">
        <f aca="false">IF($B12="","",E12-D12)</f>
        <v>-48</v>
      </c>
      <c r="G12" s="35" t="n">
        <f aca="false">IF($B12="","",D12/('⚙️ Settings'!$D$7*'⚙️ Settings'!$D$8))</f>
        <v>0.0714285714285714</v>
      </c>
    </row>
    <row r="13" customFormat="false" ht="15" hidden="false" customHeight="false" outlineLevel="0" collapsed="false">
      <c r="B13" s="21" t="str">
        <f aca="false">IF('⚙️ Settings'!C21="","",'⚙️ Settings'!B21&amp;"  "&amp;'⚙️ Settings'!C21)</f>
        <v>👨‍👩‍👧  Relationships</v>
      </c>
      <c r="C13" s="24" t="n">
        <f aca="false">IF($B13="","",'⚙️ Settings'!D21)</f>
        <v>6</v>
      </c>
      <c r="D13" s="22" t="n">
        <f aca="false">IF($B13="","",C13*'⚙️ Settings'!$D$8)</f>
        <v>24</v>
      </c>
      <c r="E13" s="24" t="n">
        <f aca="false">IF($B13="","",'📈 Weekly Review'!D13*'⚙️ Settings'!$D$8)</f>
        <v>0</v>
      </c>
      <c r="F13" s="24" t="n">
        <f aca="false">IF($B13="","",E13-D13)</f>
        <v>-24</v>
      </c>
      <c r="G13" s="35" t="n">
        <f aca="false">IF($B13="","",D13/('⚙️ Settings'!$D$7*'⚙️ Settings'!$D$8))</f>
        <v>0.0357142857142857</v>
      </c>
    </row>
    <row r="14" customFormat="false" ht="15" hidden="false" customHeight="false" outlineLevel="0" collapsed="false">
      <c r="B14" s="21" t="str">
        <f aca="false">IF('⚙️ Settings'!C22="","",'⚙️ Settings'!B22&amp;"  "&amp;'⚙️ Settings'!C22)</f>
        <v>📚  Learning</v>
      </c>
      <c r="C14" s="24" t="n">
        <f aca="false">IF($B14="","",'⚙️ Settings'!D22)</f>
        <v>0</v>
      </c>
      <c r="D14" s="22" t="n">
        <f aca="false">IF($B14="","",C14*'⚙️ Settings'!$D$8)</f>
        <v>0</v>
      </c>
      <c r="E14" s="24" t="n">
        <f aca="false">IF($B14="","",'📈 Weekly Review'!D14*'⚙️ Settings'!$D$8)</f>
        <v>0</v>
      </c>
      <c r="F14" s="24" t="n">
        <f aca="false">IF($B14="","",E14-D14)</f>
        <v>0</v>
      </c>
      <c r="G14" s="35" t="n">
        <f aca="false">IF($B14="","",D14/('⚙️ Settings'!$D$7*'⚙️ Settings'!$D$8))</f>
        <v>0</v>
      </c>
    </row>
    <row r="15" customFormat="false" ht="15" hidden="false" customHeight="false" outlineLevel="0" collapsed="false">
      <c r="B15" s="21" t="str">
        <f aca="false">IF('⚙️ Settings'!C23="","",'⚙️ Settings'!B23&amp;"  "&amp;'⚙️ Settings'!C23)</f>
        <v>🌱  Personal Development</v>
      </c>
      <c r="C15" s="24" t="n">
        <f aca="false">IF($B15="","",'⚙️ Settings'!D23)</f>
        <v>0</v>
      </c>
      <c r="D15" s="22" t="n">
        <f aca="false">IF($B15="","",C15*'⚙️ Settings'!$D$8)</f>
        <v>0</v>
      </c>
      <c r="E15" s="24" t="n">
        <f aca="false">IF($B15="","",'📈 Weekly Review'!D15*'⚙️ Settings'!$D$8)</f>
        <v>0</v>
      </c>
      <c r="F15" s="24" t="n">
        <f aca="false">IF($B15="","",E15-D15)</f>
        <v>0</v>
      </c>
      <c r="G15" s="35" t="n">
        <f aca="false">IF($B15="","",D15/('⚙️ Settings'!$D$7*'⚙️ Settings'!$D$8))</f>
        <v>0</v>
      </c>
    </row>
    <row r="16" customFormat="false" ht="15" hidden="false" customHeight="false" outlineLevel="0" collapsed="false">
      <c r="B16" s="21" t="str">
        <f aca="false">IF('⚙️ Settings'!C24="","",'⚙️ Settings'!B24&amp;"  "&amp;'⚙️ Settings'!C24)</f>
        <v>🙏  Spiritual</v>
      </c>
      <c r="C16" s="24" t="n">
        <f aca="false">IF($B16="","",'⚙️ Settings'!D24)</f>
        <v>0</v>
      </c>
      <c r="D16" s="22" t="n">
        <f aca="false">IF($B16="","",C16*'⚙️ Settings'!$D$8)</f>
        <v>0</v>
      </c>
      <c r="E16" s="24" t="n">
        <f aca="false">IF($B16="","",'📈 Weekly Review'!D16*'⚙️ Settings'!$D$8)</f>
        <v>0</v>
      </c>
      <c r="F16" s="24" t="n">
        <f aca="false">IF($B16="","",E16-D16)</f>
        <v>0</v>
      </c>
      <c r="G16" s="35" t="n">
        <f aca="false">IF($B16="","",D16/('⚙️ Settings'!$D$7*'⚙️ Settings'!$D$8))</f>
        <v>0</v>
      </c>
    </row>
    <row r="17" customFormat="false" ht="15" hidden="false" customHeight="false" outlineLevel="0" collapsed="false">
      <c r="B17" s="21" t="str">
        <f aca="false">IF('⚙️ Settings'!C25="","",'⚙️ Settings'!B25&amp;"  "&amp;'⚙️ Settings'!C25)</f>
        <v>🚗  Travel</v>
      </c>
      <c r="C17" s="24" t="n">
        <f aca="false">IF($B17="","",'⚙️ Settings'!D25)</f>
        <v>0</v>
      </c>
      <c r="D17" s="22" t="n">
        <f aca="false">IF($B17="","",C17*'⚙️ Settings'!$D$8)</f>
        <v>0</v>
      </c>
      <c r="E17" s="24" t="n">
        <f aca="false">IF($B17="","",'📈 Weekly Review'!D17*'⚙️ Settings'!$D$8)</f>
        <v>0</v>
      </c>
      <c r="F17" s="24" t="n">
        <f aca="false">IF($B17="","",E17-D17)</f>
        <v>0</v>
      </c>
      <c r="G17" s="35" t="n">
        <f aca="false">IF($B17="","",D17/('⚙️ Settings'!$D$7*'⚙️ Settings'!$D$8))</f>
        <v>0</v>
      </c>
    </row>
    <row r="18" customFormat="false" ht="15" hidden="false" customHeight="false" outlineLevel="0" collapsed="false">
      <c r="B18" s="21" t="str">
        <f aca="false">IF('⚙️ Settings'!C26="","",'⚙️ Settings'!B26&amp;"  "&amp;'⚙️ Settings'!C26)</f>
        <v>🗂️  Admin</v>
      </c>
      <c r="C18" s="24" t="n">
        <f aca="false">IF($B18="","",'⚙️ Settings'!D26)</f>
        <v>0</v>
      </c>
      <c r="D18" s="22" t="n">
        <f aca="false">IF($B18="","",C18*'⚙️ Settings'!$D$8)</f>
        <v>0</v>
      </c>
      <c r="E18" s="24" t="n">
        <f aca="false">IF($B18="","",'📈 Weekly Review'!D18*'⚙️ Settings'!$D$8)</f>
        <v>0</v>
      </c>
      <c r="F18" s="24" t="n">
        <f aca="false">IF($B18="","",E18-D18)</f>
        <v>0</v>
      </c>
      <c r="G18" s="35" t="n">
        <f aca="false">IF($B18="","",D18/('⚙️ Settings'!$D$7*'⚙️ Settings'!$D$8))</f>
        <v>0</v>
      </c>
    </row>
    <row r="19" customFormat="false" ht="15" hidden="false" customHeight="false" outlineLevel="0" collapsed="false">
      <c r="B19" s="21" t="str">
        <f aca="false">IF('⚙️ Settings'!C27="","",'⚙️ Settings'!B27&amp;"  "&amp;'⚙️ Settings'!C27)</f>
        <v/>
      </c>
      <c r="C19" s="24" t="str">
        <f aca="false">IF($B19="","",'⚙️ Settings'!D27)</f>
        <v/>
      </c>
      <c r="D19" s="22" t="str">
        <f aca="false">IF($B19="","",C19*'⚙️ Settings'!$D$8)</f>
        <v/>
      </c>
      <c r="E19" s="24" t="str">
        <f aca="false">IF($B19="","",'📈 Weekly Review'!D19*'⚙️ Settings'!$D$8)</f>
        <v/>
      </c>
      <c r="F19" s="24" t="str">
        <f aca="false">IF($B19="","",E19-D19)</f>
        <v/>
      </c>
      <c r="G19" s="35" t="str">
        <f aca="false">IF($B19="","",D19/('⚙️ Settings'!$D$7*'⚙️ Settings'!$D$8))</f>
        <v/>
      </c>
    </row>
    <row r="20" customFormat="false" ht="15" hidden="false" customHeight="false" outlineLevel="0" collapsed="false">
      <c r="B20" s="21" t="str">
        <f aca="false">IF('⚙️ Settings'!C28="","",'⚙️ Settings'!B28&amp;"  "&amp;'⚙️ Settings'!C28)</f>
        <v/>
      </c>
      <c r="C20" s="24" t="str">
        <f aca="false">IF($B20="","",'⚙️ Settings'!D28)</f>
        <v/>
      </c>
      <c r="D20" s="22" t="str">
        <f aca="false">IF($B20="","",C20*'⚙️ Settings'!$D$8)</f>
        <v/>
      </c>
      <c r="E20" s="24" t="str">
        <f aca="false">IF($B20="","",'📈 Weekly Review'!D20*'⚙️ Settings'!$D$8)</f>
        <v/>
      </c>
      <c r="F20" s="24" t="str">
        <f aca="false">IF($B20="","",E20-D20)</f>
        <v/>
      </c>
      <c r="G20" s="35" t="str">
        <f aca="false">IF($B20="","",D20/('⚙️ Settings'!$D$7*'⚙️ Settings'!$D$8))</f>
        <v/>
      </c>
    </row>
    <row r="21" customFormat="false" ht="15" hidden="false" customHeight="false" outlineLevel="0" collapsed="false">
      <c r="B21" s="21" t="str">
        <f aca="false">IF('⚙️ Settings'!C29="","",'⚙️ Settings'!B29&amp;"  "&amp;'⚙️ Settings'!C29)</f>
        <v/>
      </c>
      <c r="C21" s="24" t="str">
        <f aca="false">IF($B21="","",'⚙️ Settings'!D29)</f>
        <v/>
      </c>
      <c r="D21" s="22" t="str">
        <f aca="false">IF($B21="","",C21*'⚙️ Settings'!$D$8)</f>
        <v/>
      </c>
      <c r="E21" s="24" t="str">
        <f aca="false">IF($B21="","",'📈 Weekly Review'!D21*'⚙️ Settings'!$D$8)</f>
        <v/>
      </c>
      <c r="F21" s="24" t="str">
        <f aca="false">IF($B21="","",E21-D21)</f>
        <v/>
      </c>
      <c r="G21" s="35" t="str">
        <f aca="false">IF($B21="","",D21/('⚙️ Settings'!$D$7*'⚙️ Settings'!$D$8))</f>
        <v/>
      </c>
    </row>
    <row r="22" customFormat="false" ht="15" hidden="false" customHeight="false" outlineLevel="0" collapsed="false">
      <c r="B22" s="21" t="str">
        <f aca="false">IF('⚙️ Settings'!C30="","",'⚙️ Settings'!B30&amp;"  "&amp;'⚙️ Settings'!C30)</f>
        <v/>
      </c>
      <c r="C22" s="24" t="str">
        <f aca="false">IF($B22="","",'⚙️ Settings'!D30)</f>
        <v/>
      </c>
      <c r="D22" s="22" t="str">
        <f aca="false">IF($B22="","",C22*'⚙️ Settings'!$D$8)</f>
        <v/>
      </c>
      <c r="E22" s="24" t="str">
        <f aca="false">IF($B22="","",'📈 Weekly Review'!D22*'⚙️ Settings'!$D$8)</f>
        <v/>
      </c>
      <c r="F22" s="24" t="str">
        <f aca="false">IF($B22="","",E22-D22)</f>
        <v/>
      </c>
      <c r="G22" s="35" t="str">
        <f aca="false">IF($B22="","",D22/('⚙️ Settings'!$D$7*'⚙️ Settings'!$D$8))</f>
        <v/>
      </c>
    </row>
    <row r="23" customFormat="false" ht="15" hidden="false" customHeight="false" outlineLevel="0" collapsed="false">
      <c r="B23" s="21" t="str">
        <f aca="false">IF('⚙️ Settings'!C31="","",'⚙️ Settings'!B31&amp;"  "&amp;'⚙️ Settings'!C31)</f>
        <v/>
      </c>
      <c r="C23" s="24" t="str">
        <f aca="false">IF($B23="","",'⚙️ Settings'!D31)</f>
        <v/>
      </c>
      <c r="D23" s="22" t="str">
        <f aca="false">IF($B23="","",C23*'⚙️ Settings'!$D$8)</f>
        <v/>
      </c>
      <c r="E23" s="24" t="str">
        <f aca="false">IF($B23="","",'📈 Weekly Review'!D23*'⚙️ Settings'!$D$8)</f>
        <v/>
      </c>
      <c r="F23" s="24" t="str">
        <f aca="false">IF($B23="","",E23-D23)</f>
        <v/>
      </c>
      <c r="G23" s="35" t="str">
        <f aca="false">IF($B23="","",D23/('⚙️ Settings'!$D$7*'⚙️ Settings'!$D$8))</f>
        <v/>
      </c>
    </row>
    <row r="25" customFormat="false" ht="15" hidden="false" customHeight="false" outlineLevel="0" collapsed="false">
      <c r="B25" s="13" t="s">
        <v>228</v>
      </c>
      <c r="D25" s="8" t="n">
        <f aca="false">SUM(D6:D23)</f>
        <v>664.333333333333</v>
      </c>
      <c r="E25" s="8" t="n">
        <f aca="false">SUM(E6:E23)</f>
        <v>0</v>
      </c>
    </row>
    <row r="26" customFormat="false" ht="15" hidden="false" customHeight="false" outlineLevel="0" collapsed="false">
      <c r="B26" s="13" t="s">
        <v>229</v>
      </c>
      <c r="D26" s="8" t="n">
        <f aca="false">'⚙️ Settings'!$D$7*'⚙️ Settings'!$D$8-D25</f>
        <v>7.66666666666663</v>
      </c>
    </row>
    <row r="27" customFormat="false" ht="15" hidden="false" customHeight="false" outlineLevel="0" collapsed="false">
      <c r="B27" s="16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0"/>
  </cols>
  <sheetData>
    <row r="2" customFormat="false" ht="19.7" hidden="false" customHeight="false" outlineLevel="0" collapsed="false">
      <c r="B2" s="1" t="s">
        <v>231</v>
      </c>
    </row>
    <row r="3" customFormat="false" ht="15" hidden="false" customHeight="false" outlineLevel="0" collapsed="false">
      <c r="B3" s="2" t="s">
        <v>232</v>
      </c>
    </row>
    <row r="5" customFormat="false" ht="15" hidden="false" customHeight="false" outlineLevel="0" collapsed="false">
      <c r="B5" s="19" t="s">
        <v>161</v>
      </c>
      <c r="C5" s="19" t="s">
        <v>233</v>
      </c>
      <c r="D5" s="19" t="s">
        <v>234</v>
      </c>
      <c r="E5" s="19" t="s">
        <v>235</v>
      </c>
      <c r="F5" s="19" t="s">
        <v>236</v>
      </c>
      <c r="G5" s="19" t="s">
        <v>237</v>
      </c>
    </row>
    <row r="6" customFormat="false" ht="15" hidden="false" customHeight="false" outlineLevel="0" collapsed="false">
      <c r="B6" s="21" t="str">
        <f aca="false">IF('⚙️ Settings'!C14="","",'⚙️ Settings'!B14&amp;"  "&amp;'⚙️ Settings'!C14)</f>
        <v>😴  Sleep</v>
      </c>
      <c r="C6" s="24" t="n">
        <f aca="false">IF($B6="","",'⚙️ Settings'!D14)</f>
        <v>57.1666666666667</v>
      </c>
      <c r="D6" s="37" t="n">
        <f aca="false">IF($B6="","",C6*'⚙️ Settings'!$D$9)</f>
        <v>2972.66666666667</v>
      </c>
      <c r="E6" s="24" t="n">
        <f aca="false">IF($B6="","",D6/'⚙️ Settings'!$D$6)</f>
        <v>123.861111111111</v>
      </c>
      <c r="F6" s="24" t="n">
        <f aca="false">IF($B6="","",D6/'⚙️ Settings'!$D$7)</f>
        <v>17.6944444444444</v>
      </c>
      <c r="G6" s="35" t="n">
        <f aca="false">IF($B6="","",C6/'⚙️ Settings'!$D$7)</f>
        <v>0.340277777777778</v>
      </c>
    </row>
    <row r="7" customFormat="false" ht="15" hidden="false" customHeight="false" outlineLevel="0" collapsed="false">
      <c r="B7" s="21" t="str">
        <f aca="false">IF('⚙️ Settings'!C15="","",'⚙️ Settings'!B15&amp;"  "&amp;'⚙️ Settings'!C15)</f>
        <v>💻  Work</v>
      </c>
      <c r="C7" s="24" t="n">
        <f aca="false">IF($B7="","",'⚙️ Settings'!D15)</f>
        <v>53</v>
      </c>
      <c r="D7" s="37" t="n">
        <f aca="false">IF($B7="","",C7*'⚙️ Settings'!$D$9)</f>
        <v>2756</v>
      </c>
      <c r="E7" s="24" t="n">
        <f aca="false">IF($B7="","",D7/'⚙️ Settings'!$D$6)</f>
        <v>114.833333333333</v>
      </c>
      <c r="F7" s="24" t="n">
        <f aca="false">IF($B7="","",D7/'⚙️ Settings'!$D$7)</f>
        <v>16.4047619047619</v>
      </c>
      <c r="G7" s="35" t="n">
        <f aca="false">IF($B7="","",C7/'⚙️ Settings'!$D$7)</f>
        <v>0.31547619047619</v>
      </c>
    </row>
    <row r="8" customFormat="false" ht="15" hidden="false" customHeight="false" outlineLevel="0" collapsed="false">
      <c r="B8" s="21" t="str">
        <f aca="false">IF('⚙️ Settings'!C16="","",'⚙️ Settings'!B16&amp;"  "&amp;'⚙️ Settings'!C16)</f>
        <v>🍕  Food</v>
      </c>
      <c r="C8" s="24" t="n">
        <f aca="false">IF($B8="","",'⚙️ Settings'!D16)</f>
        <v>5.91666666666667</v>
      </c>
      <c r="D8" s="37" t="n">
        <f aca="false">IF($B8="","",C8*'⚙️ Settings'!$D$9)</f>
        <v>307.666666666667</v>
      </c>
      <c r="E8" s="24" t="n">
        <f aca="false">IF($B8="","",D8/'⚙️ Settings'!$D$6)</f>
        <v>12.8194444444444</v>
      </c>
      <c r="F8" s="24" t="n">
        <f aca="false">IF($B8="","",D8/'⚙️ Settings'!$D$7)</f>
        <v>1.83134920634921</v>
      </c>
      <c r="G8" s="35" t="n">
        <f aca="false">IF($B8="","",C8/'⚙️ Settings'!$D$7)</f>
        <v>0.035218253968254</v>
      </c>
    </row>
    <row r="9" customFormat="false" ht="15" hidden="false" customHeight="false" outlineLevel="0" collapsed="false">
      <c r="B9" s="21" t="str">
        <f aca="false">IF('⚙️ Settings'!C17="","",'⚙️ Settings'!B17&amp;"  "&amp;'⚙️ Settings'!C17)</f>
        <v>🧹  Household Chores</v>
      </c>
      <c r="C9" s="24" t="n">
        <f aca="false">IF($B9="","",'⚙️ Settings'!D17)</f>
        <v>6</v>
      </c>
      <c r="D9" s="37" t="n">
        <f aca="false">IF($B9="","",C9*'⚙️ Settings'!$D$9)</f>
        <v>312</v>
      </c>
      <c r="E9" s="24" t="n">
        <f aca="false">IF($B9="","",D9/'⚙️ Settings'!$D$6)</f>
        <v>13</v>
      </c>
      <c r="F9" s="24" t="n">
        <f aca="false">IF($B9="","",D9/'⚙️ Settings'!$D$7)</f>
        <v>1.85714285714286</v>
      </c>
      <c r="G9" s="35" t="n">
        <f aca="false">IF($B9="","",C9/'⚙️ Settings'!$D$7)</f>
        <v>0.0357142857142857</v>
      </c>
    </row>
    <row r="10" customFormat="false" ht="15" hidden="false" customHeight="false" outlineLevel="0" collapsed="false">
      <c r="B10" s="21" t="str">
        <f aca="false">IF('⚙️ Settings'!C18="","",'⚙️ Settings'!B18&amp;"  "&amp;'⚙️ Settings'!C18)</f>
        <v>👶  Childcare</v>
      </c>
      <c r="C10" s="24" t="n">
        <f aca="false">IF($B10="","",'⚙️ Settings'!D18)</f>
        <v>16</v>
      </c>
      <c r="D10" s="37" t="n">
        <f aca="false">IF($B10="","",C10*'⚙️ Settings'!$D$9)</f>
        <v>832</v>
      </c>
      <c r="E10" s="24" t="n">
        <f aca="false">IF($B10="","",D10/'⚙️ Settings'!$D$6)</f>
        <v>34.6666666666667</v>
      </c>
      <c r="F10" s="24" t="n">
        <f aca="false">IF($B10="","",D10/'⚙️ Settings'!$D$7)</f>
        <v>4.95238095238095</v>
      </c>
      <c r="G10" s="35" t="n">
        <f aca="false">IF($B10="","",C10/'⚙️ Settings'!$D$7)</f>
        <v>0.0952380952380952</v>
      </c>
    </row>
    <row r="11" customFormat="false" ht="15" hidden="false" customHeight="false" outlineLevel="0" collapsed="false">
      <c r="B11" s="21" t="str">
        <f aca="false">IF('⚙️ Settings'!C19="","",'⚙️ Settings'!B19&amp;"  "&amp;'⚙️ Settings'!C19)</f>
        <v>🏋️  Fitness</v>
      </c>
      <c r="C11" s="24" t="n">
        <f aca="false">IF($B11="","",'⚙️ Settings'!D19)</f>
        <v>10</v>
      </c>
      <c r="D11" s="37" t="n">
        <f aca="false">IF($B11="","",C11*'⚙️ Settings'!$D$9)</f>
        <v>520</v>
      </c>
      <c r="E11" s="24" t="n">
        <f aca="false">IF($B11="","",D11/'⚙️ Settings'!$D$6)</f>
        <v>21.6666666666667</v>
      </c>
      <c r="F11" s="24" t="n">
        <f aca="false">IF($B11="","",D11/'⚙️ Settings'!$D$7)</f>
        <v>3.0952380952381</v>
      </c>
      <c r="G11" s="35" t="n">
        <f aca="false">IF($B11="","",C11/'⚙️ Settings'!$D$7)</f>
        <v>0.0595238095238095</v>
      </c>
    </row>
    <row r="12" customFormat="false" ht="15" hidden="false" customHeight="false" outlineLevel="0" collapsed="false">
      <c r="B12" s="21" t="str">
        <f aca="false">IF('⚙️ Settings'!C20="","",'⚙️ Settings'!B20&amp;"  "&amp;'⚙️ Settings'!C20)</f>
        <v>📺  Entertainment</v>
      </c>
      <c r="C12" s="24" t="n">
        <f aca="false">IF($B12="","",'⚙️ Settings'!D20)</f>
        <v>12</v>
      </c>
      <c r="D12" s="37" t="n">
        <f aca="false">IF($B12="","",C12*'⚙️ Settings'!$D$9)</f>
        <v>624</v>
      </c>
      <c r="E12" s="24" t="n">
        <f aca="false">IF($B12="","",D12/'⚙️ Settings'!$D$6)</f>
        <v>26</v>
      </c>
      <c r="F12" s="24" t="n">
        <f aca="false">IF($B12="","",D12/'⚙️ Settings'!$D$7)</f>
        <v>3.71428571428571</v>
      </c>
      <c r="G12" s="35" t="n">
        <f aca="false">IF($B12="","",C12/'⚙️ Settings'!$D$7)</f>
        <v>0.0714285714285714</v>
      </c>
    </row>
    <row r="13" customFormat="false" ht="15" hidden="false" customHeight="false" outlineLevel="0" collapsed="false">
      <c r="B13" s="21" t="str">
        <f aca="false">IF('⚙️ Settings'!C21="","",'⚙️ Settings'!B21&amp;"  "&amp;'⚙️ Settings'!C21)</f>
        <v>👨‍👩‍👧  Relationships</v>
      </c>
      <c r="C13" s="24" t="n">
        <f aca="false">IF($B13="","",'⚙️ Settings'!D21)</f>
        <v>6</v>
      </c>
      <c r="D13" s="37" t="n">
        <f aca="false">IF($B13="","",C13*'⚙️ Settings'!$D$9)</f>
        <v>312</v>
      </c>
      <c r="E13" s="24" t="n">
        <f aca="false">IF($B13="","",D13/'⚙️ Settings'!$D$6)</f>
        <v>13</v>
      </c>
      <c r="F13" s="24" t="n">
        <f aca="false">IF($B13="","",D13/'⚙️ Settings'!$D$7)</f>
        <v>1.85714285714286</v>
      </c>
      <c r="G13" s="35" t="n">
        <f aca="false">IF($B13="","",C13/'⚙️ Settings'!$D$7)</f>
        <v>0.0357142857142857</v>
      </c>
    </row>
    <row r="14" customFormat="false" ht="15" hidden="false" customHeight="false" outlineLevel="0" collapsed="false">
      <c r="B14" s="21" t="str">
        <f aca="false">IF('⚙️ Settings'!C22="","",'⚙️ Settings'!B22&amp;"  "&amp;'⚙️ Settings'!C22)</f>
        <v>📚  Learning</v>
      </c>
      <c r="C14" s="24" t="n">
        <f aca="false">IF($B14="","",'⚙️ Settings'!D22)</f>
        <v>0</v>
      </c>
      <c r="D14" s="37" t="n">
        <f aca="false">IF($B14="","",C14*'⚙️ Settings'!$D$9)</f>
        <v>0</v>
      </c>
      <c r="E14" s="24" t="n">
        <f aca="false">IF($B14="","",D14/'⚙️ Settings'!$D$6)</f>
        <v>0</v>
      </c>
      <c r="F14" s="24" t="n">
        <f aca="false">IF($B14="","",D14/'⚙️ Settings'!$D$7)</f>
        <v>0</v>
      </c>
      <c r="G14" s="35" t="n">
        <f aca="false">IF($B14="","",C14/'⚙️ Settings'!$D$7)</f>
        <v>0</v>
      </c>
    </row>
    <row r="15" customFormat="false" ht="15" hidden="false" customHeight="false" outlineLevel="0" collapsed="false">
      <c r="B15" s="21" t="str">
        <f aca="false">IF('⚙️ Settings'!C23="","",'⚙️ Settings'!B23&amp;"  "&amp;'⚙️ Settings'!C23)</f>
        <v>🌱  Personal Development</v>
      </c>
      <c r="C15" s="24" t="n">
        <f aca="false">IF($B15="","",'⚙️ Settings'!D23)</f>
        <v>0</v>
      </c>
      <c r="D15" s="37" t="n">
        <f aca="false">IF($B15="","",C15*'⚙️ Settings'!$D$9)</f>
        <v>0</v>
      </c>
      <c r="E15" s="24" t="n">
        <f aca="false">IF($B15="","",D15/'⚙️ Settings'!$D$6)</f>
        <v>0</v>
      </c>
      <c r="F15" s="24" t="n">
        <f aca="false">IF($B15="","",D15/'⚙️ Settings'!$D$7)</f>
        <v>0</v>
      </c>
      <c r="G15" s="35" t="n">
        <f aca="false">IF($B15="","",C15/'⚙️ Settings'!$D$7)</f>
        <v>0</v>
      </c>
    </row>
    <row r="16" customFormat="false" ht="15" hidden="false" customHeight="false" outlineLevel="0" collapsed="false">
      <c r="B16" s="21" t="str">
        <f aca="false">IF('⚙️ Settings'!C24="","",'⚙️ Settings'!B24&amp;"  "&amp;'⚙️ Settings'!C24)</f>
        <v>🙏  Spiritual</v>
      </c>
      <c r="C16" s="24" t="n">
        <f aca="false">IF($B16="","",'⚙️ Settings'!D24)</f>
        <v>0</v>
      </c>
      <c r="D16" s="37" t="n">
        <f aca="false">IF($B16="","",C16*'⚙️ Settings'!$D$9)</f>
        <v>0</v>
      </c>
      <c r="E16" s="24" t="n">
        <f aca="false">IF($B16="","",D16/'⚙️ Settings'!$D$6)</f>
        <v>0</v>
      </c>
      <c r="F16" s="24" t="n">
        <f aca="false">IF($B16="","",D16/'⚙️ Settings'!$D$7)</f>
        <v>0</v>
      </c>
      <c r="G16" s="35" t="n">
        <f aca="false">IF($B16="","",C16/'⚙️ Settings'!$D$7)</f>
        <v>0</v>
      </c>
    </row>
    <row r="17" customFormat="false" ht="15" hidden="false" customHeight="false" outlineLevel="0" collapsed="false">
      <c r="B17" s="21" t="str">
        <f aca="false">IF('⚙️ Settings'!C25="","",'⚙️ Settings'!B25&amp;"  "&amp;'⚙️ Settings'!C25)</f>
        <v>🚗  Travel</v>
      </c>
      <c r="C17" s="24" t="n">
        <f aca="false">IF($B17="","",'⚙️ Settings'!D25)</f>
        <v>0</v>
      </c>
      <c r="D17" s="37" t="n">
        <f aca="false">IF($B17="","",C17*'⚙️ Settings'!$D$9)</f>
        <v>0</v>
      </c>
      <c r="E17" s="24" t="n">
        <f aca="false">IF($B17="","",D17/'⚙️ Settings'!$D$6)</f>
        <v>0</v>
      </c>
      <c r="F17" s="24" t="n">
        <f aca="false">IF($B17="","",D17/'⚙️ Settings'!$D$7)</f>
        <v>0</v>
      </c>
      <c r="G17" s="35" t="n">
        <f aca="false">IF($B17="","",C17/'⚙️ Settings'!$D$7)</f>
        <v>0</v>
      </c>
    </row>
    <row r="18" customFormat="false" ht="15" hidden="false" customHeight="false" outlineLevel="0" collapsed="false">
      <c r="B18" s="21" t="str">
        <f aca="false">IF('⚙️ Settings'!C26="","",'⚙️ Settings'!B26&amp;"  "&amp;'⚙️ Settings'!C26)</f>
        <v>🗂️  Admin</v>
      </c>
      <c r="C18" s="24" t="n">
        <f aca="false">IF($B18="","",'⚙️ Settings'!D26)</f>
        <v>0</v>
      </c>
      <c r="D18" s="37" t="n">
        <f aca="false">IF($B18="","",C18*'⚙️ Settings'!$D$9)</f>
        <v>0</v>
      </c>
      <c r="E18" s="24" t="n">
        <f aca="false">IF($B18="","",D18/'⚙️ Settings'!$D$6)</f>
        <v>0</v>
      </c>
      <c r="F18" s="24" t="n">
        <f aca="false">IF($B18="","",D18/'⚙️ Settings'!$D$7)</f>
        <v>0</v>
      </c>
      <c r="G18" s="35" t="n">
        <f aca="false">IF($B18="","",C18/'⚙️ Settings'!$D$7)</f>
        <v>0</v>
      </c>
    </row>
    <row r="19" customFormat="false" ht="15" hidden="false" customHeight="false" outlineLevel="0" collapsed="false">
      <c r="B19" s="21" t="str">
        <f aca="false">IF('⚙️ Settings'!C27="","",'⚙️ Settings'!B27&amp;"  "&amp;'⚙️ Settings'!C27)</f>
        <v/>
      </c>
      <c r="C19" s="24" t="str">
        <f aca="false">IF($B19="","",'⚙️ Settings'!D27)</f>
        <v/>
      </c>
      <c r="D19" s="37" t="str">
        <f aca="false">IF($B19="","",C19*'⚙️ Settings'!$D$9)</f>
        <v/>
      </c>
      <c r="E19" s="24" t="str">
        <f aca="false">IF($B19="","",D19/'⚙️ Settings'!$D$6)</f>
        <v/>
      </c>
      <c r="F19" s="24" t="str">
        <f aca="false">IF($B19="","",D19/'⚙️ Settings'!$D$7)</f>
        <v/>
      </c>
      <c r="G19" s="35" t="str">
        <f aca="false">IF($B19="","",C19/'⚙️ Settings'!$D$7)</f>
        <v/>
      </c>
    </row>
    <row r="20" customFormat="false" ht="15" hidden="false" customHeight="false" outlineLevel="0" collapsed="false">
      <c r="B20" s="21" t="str">
        <f aca="false">IF('⚙️ Settings'!C28="","",'⚙️ Settings'!B28&amp;"  "&amp;'⚙️ Settings'!C28)</f>
        <v/>
      </c>
      <c r="C20" s="24" t="str">
        <f aca="false">IF($B20="","",'⚙️ Settings'!D28)</f>
        <v/>
      </c>
      <c r="D20" s="37" t="str">
        <f aca="false">IF($B20="","",C20*'⚙️ Settings'!$D$9)</f>
        <v/>
      </c>
      <c r="E20" s="24" t="str">
        <f aca="false">IF($B20="","",D20/'⚙️ Settings'!$D$6)</f>
        <v/>
      </c>
      <c r="F20" s="24" t="str">
        <f aca="false">IF($B20="","",D20/'⚙️ Settings'!$D$7)</f>
        <v/>
      </c>
      <c r="G20" s="35" t="str">
        <f aca="false">IF($B20="","",C20/'⚙️ Settings'!$D$7)</f>
        <v/>
      </c>
    </row>
    <row r="21" customFormat="false" ht="15" hidden="false" customHeight="false" outlineLevel="0" collapsed="false">
      <c r="B21" s="21" t="str">
        <f aca="false">IF('⚙️ Settings'!C29="","",'⚙️ Settings'!B29&amp;"  "&amp;'⚙️ Settings'!C29)</f>
        <v/>
      </c>
      <c r="C21" s="24" t="str">
        <f aca="false">IF($B21="","",'⚙️ Settings'!D29)</f>
        <v/>
      </c>
      <c r="D21" s="37" t="str">
        <f aca="false">IF($B21="","",C21*'⚙️ Settings'!$D$9)</f>
        <v/>
      </c>
      <c r="E21" s="24" t="str">
        <f aca="false">IF($B21="","",D21/'⚙️ Settings'!$D$6)</f>
        <v/>
      </c>
      <c r="F21" s="24" t="str">
        <f aca="false">IF($B21="","",D21/'⚙️ Settings'!$D$7)</f>
        <v/>
      </c>
      <c r="G21" s="35" t="str">
        <f aca="false">IF($B21="","",C21/'⚙️ Settings'!$D$7)</f>
        <v/>
      </c>
    </row>
    <row r="22" customFormat="false" ht="15" hidden="false" customHeight="false" outlineLevel="0" collapsed="false">
      <c r="B22" s="21" t="str">
        <f aca="false">IF('⚙️ Settings'!C30="","",'⚙️ Settings'!B30&amp;"  "&amp;'⚙️ Settings'!C30)</f>
        <v/>
      </c>
      <c r="C22" s="24" t="str">
        <f aca="false">IF($B22="","",'⚙️ Settings'!D30)</f>
        <v/>
      </c>
      <c r="D22" s="37" t="str">
        <f aca="false">IF($B22="","",C22*'⚙️ Settings'!$D$9)</f>
        <v/>
      </c>
      <c r="E22" s="24" t="str">
        <f aca="false">IF($B22="","",D22/'⚙️ Settings'!$D$6)</f>
        <v/>
      </c>
      <c r="F22" s="24" t="str">
        <f aca="false">IF($B22="","",D22/'⚙️ Settings'!$D$7)</f>
        <v/>
      </c>
      <c r="G22" s="35" t="str">
        <f aca="false">IF($B22="","",C22/'⚙️ Settings'!$D$7)</f>
        <v/>
      </c>
    </row>
    <row r="23" customFormat="false" ht="15" hidden="false" customHeight="false" outlineLevel="0" collapsed="false">
      <c r="B23" s="21" t="str">
        <f aca="false">IF('⚙️ Settings'!C31="","",'⚙️ Settings'!B31&amp;"  "&amp;'⚙️ Settings'!C31)</f>
        <v/>
      </c>
      <c r="C23" s="24" t="str">
        <f aca="false">IF($B23="","",'⚙️ Settings'!D31)</f>
        <v/>
      </c>
      <c r="D23" s="37" t="str">
        <f aca="false">IF($B23="","",C23*'⚙️ Settings'!$D$9)</f>
        <v/>
      </c>
      <c r="E23" s="24" t="str">
        <f aca="false">IF($B23="","",D23/'⚙️ Settings'!$D$6)</f>
        <v/>
      </c>
      <c r="F23" s="24" t="str">
        <f aca="false">IF($B23="","",D23/'⚙️ Settings'!$D$7)</f>
        <v/>
      </c>
      <c r="G23" s="35" t="str">
        <f aca="false">IF($B23="","",C23/'⚙️ Settings'!$D$7)</f>
        <v/>
      </c>
    </row>
    <row r="25" customFormat="false" ht="21.75" hidden="false" customHeight="true" outlineLevel="0" collapsed="false">
      <c r="B25" s="3" t="s">
        <v>238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B26" s="2" t="str">
        <f aca="false">"At this pace you will sleep "&amp;TEXT('⚙️ Settings'!D14*'⚙️ Settings'!$D$9/24,"0")&amp;" full days this year."</f>
        <v>At this pace you will sleep 124 full days this year.</v>
      </c>
    </row>
    <row r="27" customFormat="false" ht="15" hidden="false" customHeight="false" outlineLevel="0" collapsed="false">
      <c r="B27" s="2" t="str">
        <f aca="false">"You will work "&amp;TEXT('⚙️ Settings'!D15*'⚙️ Settings'!$D$9,"#,##0")&amp;" hours — that is "&amp;TEXT('⚙️ Settings'!D15*'⚙️ Settings'!$D$9/24,"0")&amp;" days."</f>
        <v>You will work 2,756 hours — that is 115 days.</v>
      </c>
    </row>
    <row r="28" customFormat="false" ht="15" hidden="false" customHeight="false" outlineLevel="0" collapsed="false">
      <c r="B28" s="2" t="str">
        <f aca="false">"Free, unallocated time adds up to "&amp;TEXT(MAX(0,'⚙️ Settings'!$D$34)*'⚙️ Settings'!$D$9,"#,##0")&amp;" hours a year. Spend them on purpose."</f>
        <v>Free, unallocated time adds up to 100 hours a year. Spend them on purpose.</v>
      </c>
    </row>
  </sheetData>
  <mergeCells count="1"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17B"/>
    <pageSetUpPr fitToPage="false"/>
  </sheetPr>
  <dimension ref="B2:M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13"/>
    <col collapsed="false" customWidth="true" hidden="false" outlineLevel="0" max="6" min="6" style="0" width="3"/>
    <col collapsed="false" customWidth="true" hidden="false" outlineLevel="0" max="7" min="7" style="0" width="15"/>
    <col collapsed="false" customWidth="true" hidden="false" outlineLevel="0" max="10" min="8" style="0" width="12"/>
    <col collapsed="false" customWidth="true" hidden="false" outlineLevel="0" max="11" min="11" style="0" width="3"/>
    <col collapsed="false" customWidth="true" hidden="false" outlineLevel="0" max="12" min="12" style="0" width="26"/>
    <col collapsed="false" customWidth="true" hidden="false" outlineLevel="0" max="13" min="13" style="0" width="10"/>
  </cols>
  <sheetData>
    <row r="2" customFormat="false" ht="15" hidden="false" customHeight="true" outlineLevel="0" collapsed="false">
      <c r="B2" s="38" t="s">
        <v>239</v>
      </c>
      <c r="C2" s="38"/>
      <c r="D2" s="38"/>
      <c r="E2" s="38"/>
      <c r="G2" s="19"/>
      <c r="H2" s="19" t="s">
        <v>240</v>
      </c>
      <c r="I2" s="19" t="s">
        <v>241</v>
      </c>
      <c r="J2" s="19" t="s">
        <v>242</v>
      </c>
    </row>
    <row r="3" customFormat="false" ht="15" hidden="false" customHeight="false" outlineLevel="0" collapsed="false">
      <c r="B3" s="38"/>
      <c r="C3" s="38"/>
      <c r="D3" s="38"/>
      <c r="E3" s="38"/>
      <c r="G3" s="39" t="s">
        <v>243</v>
      </c>
      <c r="H3" s="22" t="n">
        <f aca="false">'⚙️ Settings'!$D$33</f>
        <v>166.083333333333</v>
      </c>
      <c r="I3" s="22" t="n">
        <f aca="false">'⚙️ Settings'!$D$33*'⚙️ Settings'!$D$8</f>
        <v>664.333333333333</v>
      </c>
      <c r="J3" s="40" t="n">
        <f aca="false">'⚙️ Settings'!$D$33*'⚙️ Settings'!$D$9</f>
        <v>8636.33333333333</v>
      </c>
    </row>
    <row r="4" customFormat="false" ht="15" hidden="false" customHeight="false" outlineLevel="0" collapsed="false">
      <c r="B4" s="38"/>
      <c r="C4" s="38"/>
      <c r="D4" s="38"/>
      <c r="E4" s="38"/>
      <c r="G4" s="39" t="s">
        <v>244</v>
      </c>
      <c r="H4" s="22" t="n">
        <f aca="false">'⚙️ Settings'!$D$34</f>
        <v>1.91666666666666</v>
      </c>
      <c r="I4" s="22" t="n">
        <f aca="false">'⚙️ Settings'!$D$34*'⚙️ Settings'!$D$8</f>
        <v>7.66666666666663</v>
      </c>
      <c r="J4" s="40" t="n">
        <f aca="false">'⚙️ Settings'!$D$34*'⚙️ Settings'!$D$9</f>
        <v>99.6666666666662</v>
      </c>
    </row>
    <row r="5" customFormat="false" ht="15" hidden="false" customHeight="false" outlineLevel="0" collapsed="false">
      <c r="B5" s="2" t="str">
        <f aca="true">"Week "&amp;WEEKNUM(TODAY(),21)&amp;"  ·  "&amp;TEXT(TODAY(),"dddd, d mmmm yyyy")</f>
        <v>Week 31  ·  Sunday, 2 August 2026</v>
      </c>
    </row>
    <row r="7" customFormat="false" ht="15" hidden="false" customHeight="false" outlineLevel="0" collapsed="false">
      <c r="L7" s="39" t="s">
        <v>245</v>
      </c>
      <c r="M7" s="19" t="s">
        <v>246</v>
      </c>
    </row>
    <row r="8" customFormat="false" ht="15" hidden="false" customHeight="false" outlineLevel="0" collapsed="false">
      <c r="L8" s="21" t="str">
        <f aca="false">IF('⚙️ Settings'!C14="","",'⚙️ Settings'!B14&amp;"  "&amp;'⚙️ Settings'!C14)</f>
        <v>😴  Sleep</v>
      </c>
      <c r="M8" s="24" t="n">
        <f aca="false">'⚙️ Settings'!D14</f>
        <v>57.1666666666667</v>
      </c>
    </row>
    <row r="9" customFormat="false" ht="15" hidden="false" customHeight="false" outlineLevel="0" collapsed="false">
      <c r="L9" s="21" t="str">
        <f aca="false">IF('⚙️ Settings'!C15="","",'⚙️ Settings'!B15&amp;"  "&amp;'⚙️ Settings'!C15)</f>
        <v>💻  Work</v>
      </c>
      <c r="M9" s="24" t="n">
        <f aca="false">'⚙️ Settings'!D15</f>
        <v>53</v>
      </c>
    </row>
    <row r="10" customFormat="false" ht="15" hidden="false" customHeight="false" outlineLevel="0" collapsed="false">
      <c r="L10" s="21" t="str">
        <f aca="false">IF('⚙️ Settings'!C16="","",'⚙️ Settings'!B16&amp;"  "&amp;'⚙️ Settings'!C16)</f>
        <v>🍕  Food</v>
      </c>
      <c r="M10" s="24" t="n">
        <f aca="false">'⚙️ Settings'!D16</f>
        <v>5.91666666666667</v>
      </c>
    </row>
    <row r="11" customFormat="false" ht="15" hidden="false" customHeight="false" outlineLevel="0" collapsed="false">
      <c r="L11" s="21" t="str">
        <f aca="false">IF('⚙️ Settings'!C17="","",'⚙️ Settings'!B17&amp;"  "&amp;'⚙️ Settings'!C17)</f>
        <v>🧹  Household Chores</v>
      </c>
      <c r="M11" s="24" t="n">
        <f aca="false">'⚙️ Settings'!D17</f>
        <v>6</v>
      </c>
    </row>
    <row r="12" customFormat="false" ht="15" hidden="false" customHeight="false" outlineLevel="0" collapsed="false">
      <c r="L12" s="21" t="str">
        <f aca="false">IF('⚙️ Settings'!C18="","",'⚙️ Settings'!B18&amp;"  "&amp;'⚙️ Settings'!C18)</f>
        <v>👶  Childcare</v>
      </c>
      <c r="M12" s="24" t="n">
        <f aca="false">'⚙️ Settings'!D18</f>
        <v>16</v>
      </c>
    </row>
    <row r="13" customFormat="false" ht="15" hidden="false" customHeight="false" outlineLevel="0" collapsed="false">
      <c r="L13" s="21" t="str">
        <f aca="false">IF('⚙️ Settings'!C19="","",'⚙️ Settings'!B19&amp;"  "&amp;'⚙️ Settings'!C19)</f>
        <v>🏋️  Fitness</v>
      </c>
      <c r="M13" s="24" t="n">
        <f aca="false">'⚙️ Settings'!D19</f>
        <v>10</v>
      </c>
    </row>
    <row r="14" customFormat="false" ht="15" hidden="false" customHeight="false" outlineLevel="0" collapsed="false">
      <c r="L14" s="21" t="str">
        <f aca="false">IF('⚙️ Settings'!C20="","",'⚙️ Settings'!B20&amp;"  "&amp;'⚙️ Settings'!C20)</f>
        <v>📺  Entertainment</v>
      </c>
      <c r="M14" s="24" t="n">
        <f aca="false">'⚙️ Settings'!D20</f>
        <v>12</v>
      </c>
    </row>
    <row r="15" customFormat="false" ht="15" hidden="false" customHeight="false" outlineLevel="0" collapsed="false">
      <c r="L15" s="21" t="str">
        <f aca="false">IF('⚙️ Settings'!C21="","",'⚙️ Settings'!B21&amp;"  "&amp;'⚙️ Settings'!C21)</f>
        <v>👨‍👩‍👧  Relationships</v>
      </c>
      <c r="M15" s="24" t="n">
        <f aca="false">'⚙️ Settings'!D21</f>
        <v>6</v>
      </c>
    </row>
    <row r="16" customFormat="false" ht="15" hidden="false" customHeight="false" outlineLevel="0" collapsed="false">
      <c r="L16" s="21" t="str">
        <f aca="false">IF('⚙️ Settings'!C22="","",'⚙️ Settings'!B22&amp;"  "&amp;'⚙️ Settings'!C22)</f>
        <v>📚  Learning</v>
      </c>
      <c r="M16" s="24" t="n">
        <f aca="false">'⚙️ Settings'!D22</f>
        <v>0</v>
      </c>
    </row>
    <row r="17" customFormat="false" ht="15" hidden="false" customHeight="false" outlineLevel="0" collapsed="false">
      <c r="L17" s="21" t="str">
        <f aca="false">IF('⚙️ Settings'!C23="","",'⚙️ Settings'!B23&amp;"  "&amp;'⚙️ Settings'!C23)</f>
        <v>🌱  Personal Development</v>
      </c>
      <c r="M17" s="24" t="n">
        <f aca="false">'⚙️ Settings'!D23</f>
        <v>0</v>
      </c>
    </row>
    <row r="18" customFormat="false" ht="15" hidden="false" customHeight="false" outlineLevel="0" collapsed="false">
      <c r="L18" s="21" t="str">
        <f aca="false">IF('⚙️ Settings'!C24="","",'⚙️ Settings'!B24&amp;"  "&amp;'⚙️ Settings'!C24)</f>
        <v>🙏  Spiritual</v>
      </c>
      <c r="M18" s="24" t="n">
        <f aca="false">'⚙️ Settings'!D24</f>
        <v>0</v>
      </c>
    </row>
    <row r="19" customFormat="false" ht="15" hidden="false" customHeight="false" outlineLevel="0" collapsed="false">
      <c r="L19" s="21" t="str">
        <f aca="false">IF('⚙️ Settings'!C25="","",'⚙️ Settings'!B25&amp;"  "&amp;'⚙️ Settings'!C25)</f>
        <v>🚗  Travel</v>
      </c>
      <c r="M19" s="24" t="n">
        <f aca="false">'⚙️ Settings'!D25</f>
        <v>0</v>
      </c>
    </row>
    <row r="20" customFormat="false" ht="15" hidden="false" customHeight="false" outlineLevel="0" collapsed="false">
      <c r="L20" s="21" t="str">
        <f aca="false">IF('⚙️ Settings'!C26="","",'⚙️ Settings'!B26&amp;"  "&amp;'⚙️ Settings'!C26)</f>
        <v>🗂️  Admin</v>
      </c>
      <c r="M20" s="24" t="n">
        <f aca="false">'⚙️ Settings'!D26</f>
        <v>0</v>
      </c>
    </row>
    <row r="21" customFormat="false" ht="15" hidden="false" customHeight="false" outlineLevel="0" collapsed="false">
      <c r="L21" s="41" t="s">
        <v>247</v>
      </c>
      <c r="M21" s="42" t="n">
        <f aca="false">MAX(0,'⚙️ Settings'!$D$34)</f>
        <v>1.91666666666666</v>
      </c>
    </row>
    <row r="22" customFormat="false" ht="15" hidden="false" customHeight="false" outlineLevel="0" collapsed="false">
      <c r="L22" s="43" t="str">
        <f aca="false">IF('⚙️ Settings'!C27="","",'⚙️ Settings'!B27&amp;"  "&amp;'⚙️ Settings'!C27)</f>
        <v/>
      </c>
      <c r="M22" s="44" t="str">
        <f aca="false">IF('⚙️ Settings'!C27="","",'⚙️ Settings'!D27)</f>
        <v/>
      </c>
    </row>
    <row r="23" customFormat="false" ht="15" hidden="false" customHeight="false" outlineLevel="0" collapsed="false">
      <c r="L23" s="43" t="str">
        <f aca="false">IF('⚙️ Settings'!C28="","",'⚙️ Settings'!B28&amp;"  "&amp;'⚙️ Settings'!C28)</f>
        <v/>
      </c>
      <c r="M23" s="44" t="str">
        <f aca="false">IF('⚙️ Settings'!C28="","",'⚙️ Settings'!D28)</f>
        <v/>
      </c>
    </row>
    <row r="24" customFormat="false" ht="15" hidden="false" customHeight="false" outlineLevel="0" collapsed="false">
      <c r="L24" s="43" t="str">
        <f aca="false">IF('⚙️ Settings'!C29="","",'⚙️ Settings'!B29&amp;"  "&amp;'⚙️ Settings'!C29)</f>
        <v/>
      </c>
      <c r="M24" s="44" t="str">
        <f aca="false">IF('⚙️ Settings'!C29="","",'⚙️ Settings'!D29)</f>
        <v/>
      </c>
    </row>
    <row r="25" customFormat="false" ht="15" hidden="false" customHeight="false" outlineLevel="0" collapsed="false">
      <c r="L25" s="43" t="str">
        <f aca="false">IF('⚙️ Settings'!C30="","",'⚙️ Settings'!B30&amp;"  "&amp;'⚙️ Settings'!C30)</f>
        <v/>
      </c>
      <c r="M25" s="44" t="str">
        <f aca="false">IF('⚙️ Settings'!C30="","",'⚙️ Settings'!D30)</f>
        <v/>
      </c>
    </row>
    <row r="26" customFormat="false" ht="21.75" hidden="false" customHeight="true" outlineLevel="0" collapsed="false">
      <c r="B26" s="3" t="s">
        <v>248</v>
      </c>
      <c r="C26" s="3"/>
      <c r="D26" s="3"/>
      <c r="E26" s="3"/>
      <c r="G26" s="3" t="s">
        <v>249</v>
      </c>
      <c r="H26" s="3"/>
      <c r="I26" s="3"/>
      <c r="J26" s="3"/>
      <c r="L26" s="43" t="str">
        <f aca="false">IF('⚙️ Settings'!C31="","",'⚙️ Settings'!B31&amp;"  "&amp;'⚙️ Settings'!C31)</f>
        <v/>
      </c>
      <c r="M26" s="44" t="str">
        <f aca="false">IF('⚙️ Settings'!C31="","",'⚙️ Settings'!D31)</f>
        <v/>
      </c>
    </row>
    <row r="27" customFormat="false" ht="15" hidden="false" customHeight="false" outlineLevel="0" collapsed="false">
      <c r="B27" s="45" t="str">
        <f aca="false">IF('⚙️ Settings'!D15&gt;60,"🔴  Work is over 60 h/week — burnout territory. Cut or delegate.",IF('⚙️ Settings'!D15&gt;55,"🟡  Work is above 55 h/week — watch the load.","🟢  Work load is sustainable."))</f>
        <v>🟢  Work load is sustainable.</v>
      </c>
      <c r="C27" s="45"/>
      <c r="D27" s="45"/>
      <c r="E27" s="45"/>
      <c r="G27" s="46"/>
      <c r="H27" s="47" t="s">
        <v>250</v>
      </c>
      <c r="I27" s="47" t="s">
        <v>251</v>
      </c>
      <c r="J27" s="47" t="s">
        <v>252</v>
      </c>
      <c r="K27" s="48"/>
      <c r="L27" s="49" t="s">
        <v>253</v>
      </c>
      <c r="M27" s="50" t="n">
        <f aca="false">'⚙️ Settings'!$D$33</f>
        <v>166.083333333333</v>
      </c>
    </row>
    <row r="28" customFormat="false" ht="15" hidden="false" customHeight="false" outlineLevel="0" collapsed="false">
      <c r="B28" s="45" t="str">
        <f aca="false">IF('⚙️ Settings'!D14&lt;49,"🔴  Sleep is under 7 h/night — recovery is your first lever.","🟢  Sleep is on target.")</f>
        <v>🟢  Sleep is on target.</v>
      </c>
      <c r="C28" s="45"/>
      <c r="D28" s="45"/>
      <c r="E28" s="45"/>
      <c r="G28" s="43" t="s">
        <v>254</v>
      </c>
      <c r="H28" s="24" t="n">
        <f aca="false">'⚙️ Settings'!$D$33/7</f>
        <v>23.7261904761905</v>
      </c>
      <c r="I28" s="24" t="n">
        <f aca="false">'⚙️ Settings'!$D$33</f>
        <v>166.083333333333</v>
      </c>
      <c r="J28" s="51" t="n">
        <f aca="false">'⚙️ Settings'!$D$33*'⚙️ Settings'!$D$8</f>
        <v>664.333333333333</v>
      </c>
      <c r="K28" s="52" t="n">
        <f aca="false">'⚙️ Settings'!$D$33*'⚙️ Settings'!$D$9</f>
        <v>8636.33333333333</v>
      </c>
    </row>
    <row r="29" customFormat="false" ht="15" hidden="false" customHeight="false" outlineLevel="0" collapsed="false">
      <c r="B29" s="45" t="str">
        <f aca="false">IF('⚙️ Settings'!D19&lt;3,"🟡  Fitness is under 3 h/week — schedule workouts first, not last.","🟢  Fitness habit is funded.")</f>
        <v>🟢  Fitness habit is funded.</v>
      </c>
      <c r="C29" s="45"/>
      <c r="D29" s="45"/>
      <c r="E29" s="45"/>
      <c r="G29" s="43" t="s">
        <v>255</v>
      </c>
      <c r="H29" s="24" t="n">
        <f aca="false">MAX(0,'⚙️ Settings'!$D$34)/7</f>
        <v>0.273809523809522</v>
      </c>
      <c r="I29" s="24" t="n">
        <f aca="false">MAX(0,'⚙️ Settings'!$D$34)</f>
        <v>1.91666666666666</v>
      </c>
      <c r="J29" s="51" t="n">
        <f aca="false">MAX(0,'⚙️ Settings'!$D$34)*'⚙️ Settings'!$D$8</f>
        <v>7.66666666666663</v>
      </c>
      <c r="K29" s="52" t="n">
        <f aca="false">MAX(0,'⚙️ Settings'!$D$34)*'⚙️ Settings'!$D$9</f>
        <v>99.6666666666662</v>
      </c>
    </row>
    <row r="30" customFormat="false" ht="15" hidden="false" customHeight="false" outlineLevel="0" collapsed="false">
      <c r="B30" s="45" t="str">
        <f aca="false">IF('⚙️ Settings'!$D$34&lt;0,"🔴  You have allocated MORE than 168 hours — something must give.",IF('⚙️ Settings'!$D$34&lt;5,"🟡  Under 5 h of true free time — build in slack.","🟢  Healthy buffer of free time."))</f>
        <v>🟡  Under 5 h of true free time — build in slack.</v>
      </c>
      <c r="C30" s="45"/>
      <c r="D30" s="45"/>
      <c r="E30" s="45"/>
      <c r="G30" s="43" t="s">
        <v>165</v>
      </c>
      <c r="H30" s="24" t="n">
        <f aca="false">'⚙️ Settings'!$D$35/7</f>
        <v>9</v>
      </c>
      <c r="I30" s="24" t="n">
        <f aca="false">'⚙️ Settings'!$D$35</f>
        <v>63</v>
      </c>
      <c r="J30" s="51" t="n">
        <f aca="false">'⚙️ Settings'!$D$35*'⚙️ Settings'!$D$8</f>
        <v>252</v>
      </c>
      <c r="K30" s="52" t="n">
        <f aca="false">'⚙️ Settings'!$D$35*'⚙️ Settings'!$D$9</f>
        <v>3276</v>
      </c>
    </row>
    <row r="31" customFormat="false" ht="15" hidden="false" customHeight="false" outlineLevel="0" collapsed="false">
      <c r="B31" s="45" t="str">
        <f aca="false">IF('⚙️ Settings'!D21&lt;3,"🟡  Relationships get under 3 h/week — book the quality time.","🟢  Relationships are funded.")</f>
        <v>🟢  Relationships are funded.</v>
      </c>
      <c r="C31" s="45"/>
      <c r="D31" s="45"/>
      <c r="E31" s="45"/>
      <c r="G31" s="43" t="s">
        <v>170</v>
      </c>
      <c r="H31" s="24" t="n">
        <f aca="false">'⚙️ Settings'!D14/7</f>
        <v>8.16666666666667</v>
      </c>
      <c r="I31" s="24" t="n">
        <f aca="false">'⚙️ Settings'!D14</f>
        <v>57.1666666666667</v>
      </c>
      <c r="J31" s="51" t="n">
        <f aca="false">'⚙️ Settings'!D14*'⚙️ Settings'!$D$8</f>
        <v>228.666666666667</v>
      </c>
      <c r="K31" s="52" t="n">
        <f aca="false">'⚙️ Settings'!D14*'⚙️ Settings'!$D$9</f>
        <v>2972.66666666667</v>
      </c>
    </row>
    <row r="34" customFormat="false" ht="15" hidden="false" customHeight="false" outlineLevel="0" collapsed="false">
      <c r="B34" s="19" t="s">
        <v>256</v>
      </c>
      <c r="C34" s="19"/>
      <c r="D34" s="19" t="s">
        <v>257</v>
      </c>
      <c r="E34" s="19"/>
      <c r="F34" s="19" t="s">
        <v>258</v>
      </c>
      <c r="G34" s="19"/>
    </row>
    <row r="35" customFormat="false" ht="24.45" hidden="false" customHeight="false" outlineLevel="0" collapsed="false">
      <c r="B35" s="53" t="n">
        <f aca="false">ROUND(100*(('⚙️ Settings'!D14&gt;=49)*('⚙️ Settings'!D14&lt;=63)+('⚙️ Settings'!D15&lt;=55)*1+('⚙️ Settings'!D19&gt;=3)*1+('⚙️ Settings'!D21&gt;=3)*1+(('⚙️ Settings'!D22+'⚙️ Settings'!D23)&gt;=2)*1+('⚙️ Settings'!$D$34&gt;=5)*1+('⚙️ Settings'!$D$34&gt;=0)*1)/7,0)</f>
        <v>71</v>
      </c>
      <c r="C35" s="53"/>
      <c r="D35" s="54" t="n">
        <f aca="false">'⚙️ Settings'!$D$33/'⚙️ Settings'!$D$7</f>
        <v>0.98859126984127</v>
      </c>
      <c r="E35" s="54"/>
      <c r="F35" s="55" t="n">
        <f aca="false">'⚙️ Settings'!$D$35</f>
        <v>63</v>
      </c>
      <c r="G35" s="55"/>
    </row>
    <row r="36" customFormat="false" ht="15" hidden="false" customHeight="false" outlineLevel="0" collapsed="false">
      <c r="B36" s="56" t="s">
        <v>259</v>
      </c>
      <c r="C36" s="56"/>
      <c r="D36" s="56" t="s">
        <v>260</v>
      </c>
      <c r="E36" s="56"/>
      <c r="F36" s="56" t="s">
        <v>261</v>
      </c>
      <c r="G36" s="56"/>
    </row>
  </sheetData>
  <mergeCells count="17">
    <mergeCell ref="B2:E4"/>
    <mergeCell ref="B26:E26"/>
    <mergeCell ref="G26:J26"/>
    <mergeCell ref="B27:E27"/>
    <mergeCell ref="B28:E28"/>
    <mergeCell ref="B29:E29"/>
    <mergeCell ref="B30:E30"/>
    <mergeCell ref="B31:E31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</mergeCells>
  <conditionalFormatting sqref="H4:J4">
    <cfRule type="expression" priority="2" aboveAverage="0" equalAverage="0" bottom="0" percent="0" rank="0" text="" dxfId="0">
      <formula>$H$4&lt;0</formula>
    </cfRule>
  </conditionalFormatting>
  <conditionalFormatting sqref="B35">
    <cfRule type="expression" priority="3" aboveAverage="0" equalAverage="0" bottom="0" percent="0" rank="0" text="" dxfId="4">
      <formula>$B$35&gt;=80</formula>
    </cfRule>
    <cfRule type="expression" priority="4" aboveAverage="0" equalAverage="0" bottom="0" percent="0" rank="0" text="" dxfId="5">
      <formula>$B$35&lt;60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7B7"/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262</v>
      </c>
    </row>
    <row r="4" customFormat="false" ht="21.75" hidden="false" customHeight="true" outlineLevel="0" collapsed="false">
      <c r="B4" s="3" t="s">
        <v>263</v>
      </c>
      <c r="C4" s="3"/>
    </row>
    <row r="5" customFormat="false" ht="45" hidden="false" customHeight="true" outlineLevel="0" collapsed="false">
      <c r="C5" s="57" t="s">
        <v>264</v>
      </c>
    </row>
    <row r="7" customFormat="false" ht="21.75" hidden="false" customHeight="true" outlineLevel="0" collapsed="false">
      <c r="B7" s="3" t="s">
        <v>265</v>
      </c>
      <c r="C7" s="3"/>
    </row>
    <row r="8" customFormat="false" ht="30" hidden="false" customHeight="true" outlineLevel="0" collapsed="false">
      <c r="C8" s="57" t="s">
        <v>266</v>
      </c>
    </row>
    <row r="10" customFormat="false" ht="21.75" hidden="false" customHeight="true" outlineLevel="0" collapsed="false">
      <c r="B10" s="3" t="s">
        <v>267</v>
      </c>
      <c r="C10" s="3"/>
    </row>
    <row r="11" customFormat="false" ht="30" hidden="false" customHeight="true" outlineLevel="0" collapsed="false">
      <c r="C11" s="57" t="s">
        <v>268</v>
      </c>
    </row>
    <row r="12" customFormat="false" ht="15.75" hidden="false" customHeight="true" outlineLevel="0" collapsed="false">
      <c r="C12" s="57" t="s">
        <v>269</v>
      </c>
    </row>
    <row r="13" customFormat="false" ht="15.75" hidden="false" customHeight="true" outlineLevel="0" collapsed="false">
      <c r="C13" s="57" t="s">
        <v>270</v>
      </c>
    </row>
    <row r="14" customFormat="false" ht="15.75" hidden="false" customHeight="true" outlineLevel="0" collapsed="false">
      <c r="C14" s="57" t="s">
        <v>271</v>
      </c>
    </row>
    <row r="16" customFormat="false" ht="21.75" hidden="false" customHeight="true" outlineLevel="0" collapsed="false">
      <c r="B16" s="3" t="s">
        <v>272</v>
      </c>
      <c r="C16" s="3"/>
    </row>
    <row r="17" customFormat="false" ht="30" hidden="false" customHeight="true" outlineLevel="0" collapsed="false">
      <c r="C17" s="57" t="s">
        <v>273</v>
      </c>
    </row>
    <row r="19" customFormat="false" ht="21.75" hidden="false" customHeight="true" outlineLevel="0" collapsed="false">
      <c r="B19" s="3" t="s">
        <v>274</v>
      </c>
      <c r="C19" s="3"/>
    </row>
    <row r="20" customFormat="false" ht="30" hidden="false" customHeight="true" outlineLevel="0" collapsed="false">
      <c r="C20" s="57" t="s">
        <v>275</v>
      </c>
    </row>
    <row r="22" customFormat="false" ht="21.75" hidden="false" customHeight="true" outlineLevel="0" collapsed="false">
      <c r="B22" s="3" t="s">
        <v>276</v>
      </c>
      <c r="C22" s="3"/>
    </row>
    <row r="23" customFormat="false" ht="15.75" hidden="false" customHeight="true" outlineLevel="0" collapsed="false">
      <c r="C23" s="57" t="s">
        <v>277</v>
      </c>
    </row>
    <row r="25" customFormat="false" ht="21.75" hidden="false" customHeight="true" outlineLevel="0" collapsed="false">
      <c r="B25" s="3" t="s">
        <v>278</v>
      </c>
      <c r="C25" s="3"/>
    </row>
    <row r="26" customFormat="false" ht="45" hidden="false" customHeight="true" outlineLevel="0" collapsed="false">
      <c r="C26" s="57" t="s">
        <v>279</v>
      </c>
    </row>
  </sheetData>
  <mergeCells count="7">
    <mergeCell ref="B4:C4"/>
    <mergeCell ref="B7:C7"/>
    <mergeCell ref="B10:C10"/>
    <mergeCell ref="B16:C16"/>
    <mergeCell ref="B19:C19"/>
    <mergeCell ref="B22:C22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2026-08-02T12:16:05Z</dcterms:created>
  <dc:creator>openpyxl</dc:creator>
  <dc:description/>
  <dc:language>en-US</dc:language>
  <cp:lastModifiedBy/>
  <dcterms:modified xsi:type="dcterms:W3CDTF">2026-08-02T12:16:08Z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