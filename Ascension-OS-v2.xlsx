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⚙️ Settings" sheetId="1" state="visible" r:id="rId3"/>
    <sheet name="🌟 Ideal Week" sheetId="2" state="visible" r:id="rId4"/>
    <sheet name="📆 Current Week" sheetId="3" state="visible" r:id="rId5"/>
    <sheet name="📅 Daily Tracker" sheetId="4" state="visible" r:id="rId6"/>
    <sheet name="🗓️ Monthly Review" sheetId="5" state="visible" r:id="rId7"/>
    <sheet name="🎯 Annual Review" sheetId="6" state="visible" r:id="rId8"/>
    <sheet name="📊 Dashboard" sheetId="7" state="visible" r:id="rId9"/>
    <sheet name="📖 Start Here" sheetId="8" state="visible" r:id="rId10"/>
  </sheets>
  <definedNames>
    <definedName function="false" hidden="false" name="CatList" vbProcedure="false">'⚙️ Settings'!$C$17:$C$38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4" authorId="0">
      <text>
        <r>
          <rPr>
            <sz val="10"/>
            <rFont val="Arial"/>
            <family val="2"/>
          </rPr>
          <t xml:space="preserve">Type a custom category name + weekly hours — it appears on every sheet.</t>
        </r>
      </text>
    </comment>
    <comment ref="D12" authorId="0">
      <text>
        <r>
          <rPr>
            <sz val="10"/>
            <rFont val="Arial"/>
            <family val="2"/>
          </rPr>
          <t xml:space="preserve">Executive convention (4 wk/month, 52 wk/year). Use 4.345 / 52.18 for calendar-accurate maths.</t>
        </r>
      </text>
    </comment>
  </commentList>
</comments>
</file>

<file path=xl/sharedStrings.xml><?xml version="1.0" encoding="utf-8"?>
<sst xmlns="http://schemas.openxmlformats.org/spreadsheetml/2006/main" count="474" uniqueCount="324">
  <si>
    <t xml:space="preserve">⚙️ Settings — goals &amp; master data</t>
  </si>
  <si>
    <t xml:space="preserve">Light-blue cells are yours. Custom categories flow into every sheet automatically.</t>
  </si>
  <si>
    <t xml:space="preserve">  🎯  GOALS &amp; SETUP</t>
  </si>
  <si>
    <t xml:space="preserve">Work days per week</t>
  </si>
  <si>
    <t xml:space="preserve">Drives lunch, commute, deep-work formulas.</t>
  </si>
  <si>
    <t xml:space="preserve">Sleep goal (hours per night)</t>
  </si>
  <si>
    <t xml:space="preserve">Feeds the Balance Score &amp; sleep warnings.</t>
  </si>
  <si>
    <t xml:space="preserve">Weekly productive target (h)</t>
  </si>
  <si>
    <t xml:space="preserve">Goal-progress measures against this.</t>
  </si>
  <si>
    <t xml:space="preserve">  ⏱️  CONSTANTS</t>
  </si>
  <si>
    <t xml:space="preserve">Hours per day</t>
  </si>
  <si>
    <t xml:space="preserve">Hours per week</t>
  </si>
  <si>
    <t xml:space="preserve">Weeks per month</t>
  </si>
  <si>
    <t xml:space="preserve">Weeks per year</t>
  </si>
  <si>
    <t xml:space="preserve">  🗂️  MASTER CATEGORY TABLE</t>
  </si>
  <si>
    <t xml:space="preserve">Category</t>
  </si>
  <si>
    <t xml:space="preserve">Ideal h/wk</t>
  </si>
  <si>
    <t xml:space="preserve">% of week</t>
  </si>
  <si>
    <t xml:space="preserve">Per day</t>
  </si>
  <si>
    <t xml:space="preserve">Productive</t>
  </si>
  <si>
    <t xml:space="preserve">Min h/wk</t>
  </si>
  <si>
    <t xml:space="preserve">Max h/wk</t>
  </si>
  <si>
    <t xml:space="preserve">Status</t>
  </si>
  <si>
    <t xml:space="preserve">😴</t>
  </si>
  <si>
    <t xml:space="preserve">Sleep</t>
  </si>
  <si>
    <t xml:space="preserve">💼</t>
  </si>
  <si>
    <t xml:space="preserve">Work</t>
  </si>
  <si>
    <t xml:space="preserve">🎯</t>
  </si>
  <si>
    <t xml:space="preserve">Deep Work</t>
  </si>
  <si>
    <t xml:space="preserve">🗣️</t>
  </si>
  <si>
    <t xml:space="preserve">Meetings</t>
  </si>
  <si>
    <t xml:space="preserve">🍕</t>
  </si>
  <si>
    <t xml:space="preserve">Food</t>
  </si>
  <si>
    <t xml:space="preserve">🧹</t>
  </si>
  <si>
    <t xml:space="preserve">Household Chores</t>
  </si>
  <si>
    <t xml:space="preserve">👶</t>
  </si>
  <si>
    <t xml:space="preserve">Childcare</t>
  </si>
  <si>
    <t xml:space="preserve">🏋️</t>
  </si>
  <si>
    <t xml:space="preserve">Fitness</t>
  </si>
  <si>
    <t xml:space="preserve">📺</t>
  </si>
  <si>
    <t xml:space="preserve">Entertainment</t>
  </si>
  <si>
    <t xml:space="preserve">❤️</t>
  </si>
  <si>
    <t xml:space="preserve">Relationships</t>
  </si>
  <si>
    <t xml:space="preserve">📚</t>
  </si>
  <si>
    <t xml:space="preserve">Learning</t>
  </si>
  <si>
    <t xml:space="preserve">🌱</t>
  </si>
  <si>
    <t xml:space="preserve">Personal Development</t>
  </si>
  <si>
    <t xml:space="preserve">🙏</t>
  </si>
  <si>
    <t xml:space="preserve">Spiritual</t>
  </si>
  <si>
    <t xml:space="preserve">🚗</t>
  </si>
  <si>
    <t xml:space="preserve">Travel</t>
  </si>
  <si>
    <t xml:space="preserve">🗂️</t>
  </si>
  <si>
    <t xml:space="preserve">Admin</t>
  </si>
  <si>
    <t xml:space="preserve">📈</t>
  </si>
  <si>
    <t xml:space="preserve">Business Development</t>
  </si>
  <si>
    <t xml:space="preserve">🎬</t>
  </si>
  <si>
    <t xml:space="preserve">Content Creation</t>
  </si>
  <si>
    <t xml:space="preserve">Total allocated</t>
  </si>
  <si>
    <t xml:space="preserve">Free time (168 − allocated)</t>
  </si>
  <si>
    <t xml:space="preserve">Productive hours</t>
  </si>
  <si>
    <t xml:space="preserve">🌟 Ideal Week — design your 168 hours</t>
  </si>
  <si>
    <t xml:space="preserve">Only edit the light-blue cells. Every sheet in the OS measures reality against this design.</t>
  </si>
  <si>
    <t xml:space="preserve">HOURS USED</t>
  </si>
  <si>
    <t xml:space="preserve">REMAINING</t>
  </si>
  <si>
    <t xml:space="preserve">WEEKLY HRS</t>
  </si>
  <si>
    <t xml:space="preserve">MONTHLY HRS</t>
  </si>
  <si>
    <t xml:space="preserve">ANNUAL HRS</t>
  </si>
  <si>
    <t xml:space="preserve">PRODUCTIVE</t>
  </si>
  <si>
    <t xml:space="preserve">FREE TIME</t>
  </si>
  <si>
    <t xml:space="preserve">UTILIZATION</t>
  </si>
  <si>
    <t xml:space="preserve">BALANCE</t>
  </si>
  <si>
    <t xml:space="preserve">  😴  SLEEP</t>
  </si>
  <si>
    <t xml:space="preserve">I sleep for around</t>
  </si>
  <si>
    <t xml:space="preserve">hours per night.</t>
  </si>
  <si>
    <t xml:space="preserve">This means I spend</t>
  </si>
  <si>
    <t xml:space="preserve">hours per week sleeping.</t>
  </si>
  <si>
    <t xml:space="preserve">I wind down for</t>
  </si>
  <si>
    <t xml:space="preserve">minutes before sleeping.</t>
  </si>
  <si>
    <t xml:space="preserve">hours per week preparing to sleep.</t>
  </si>
  <si>
    <t xml:space="preserve">My wake-up routine takes</t>
  </si>
  <si>
    <t xml:space="preserve">minutes each morning.</t>
  </si>
  <si>
    <t xml:space="preserve">hours per week waking up.</t>
  </si>
  <si>
    <t xml:space="preserve">😴 In total, I spend</t>
  </si>
  <si>
    <t xml:space="preserve">✅ That leaves me with</t>
  </si>
  <si>
    <t xml:space="preserve">hours per week for everything else.</t>
  </si>
  <si>
    <t xml:space="preserve">  💼  WORK</t>
  </si>
  <si>
    <t xml:space="preserve">I work</t>
  </si>
  <si>
    <t xml:space="preserve">days per week  (change in ⚙️ Settings).</t>
  </si>
  <si>
    <t xml:space="preserve">Outside meetings &amp; deep work, general work takes me</t>
  </si>
  <si>
    <t xml:space="preserve">hours per working day.</t>
  </si>
  <si>
    <t xml:space="preserve">hours per week on general work.</t>
  </si>
  <si>
    <t xml:space="preserve">My lunch break is</t>
  </si>
  <si>
    <t xml:space="preserve">minutes per working day.</t>
  </si>
  <si>
    <t xml:space="preserve">hours per week on my lunch break.</t>
  </si>
  <si>
    <t xml:space="preserve">My commute is</t>
  </si>
  <si>
    <t xml:space="preserve">minutes each way.</t>
  </si>
  <si>
    <t xml:space="preserve">hours per week commuting.</t>
  </si>
  <si>
    <t xml:space="preserve">Getting ready for work takes</t>
  </si>
  <si>
    <t xml:space="preserve">hours per week getting ready.</t>
  </si>
  <si>
    <t xml:space="preserve">Switching off after work takes</t>
  </si>
  <si>
    <t xml:space="preserve">hours per week switching off.</t>
  </si>
  <si>
    <t xml:space="preserve">💼 In total, I spend</t>
  </si>
  <si>
    <t xml:space="preserve">  🎯  DEEP WORK</t>
  </si>
  <si>
    <t xml:space="preserve">I do</t>
  </si>
  <si>
    <t xml:space="preserve">hours of deep, focused work per working day.</t>
  </si>
  <si>
    <t xml:space="preserve">hours per week in deep work.</t>
  </si>
  <si>
    <t xml:space="preserve">🎯 In total, I spend</t>
  </si>
  <si>
    <t xml:space="preserve">  🗣️  MEETINGS</t>
  </si>
  <si>
    <t xml:space="preserve">I spend</t>
  </si>
  <si>
    <t xml:space="preserve">hours in meetings per week.</t>
  </si>
  <si>
    <t xml:space="preserve">hours per week in meetings.</t>
  </si>
  <si>
    <t xml:space="preserve">🗣️ In total, I spend</t>
  </si>
  <si>
    <t xml:space="preserve">  🍕  FOOD</t>
  </si>
  <si>
    <t xml:space="preserve">Breakfast takes</t>
  </si>
  <si>
    <t xml:space="preserve">minutes per day (eating + prep).</t>
  </si>
  <si>
    <t xml:space="preserve">hours per week on breakfast.</t>
  </si>
  <si>
    <t xml:space="preserve">Lunch takes</t>
  </si>
  <si>
    <t xml:space="preserve">minutes per non-working day.</t>
  </si>
  <si>
    <t xml:space="preserve">hours per week on lunch (non-work days).</t>
  </si>
  <si>
    <t xml:space="preserve">Dinner takes</t>
  </si>
  <si>
    <t xml:space="preserve">hours per week on dinner.</t>
  </si>
  <si>
    <t xml:space="preserve">🍕 In total, I spend</t>
  </si>
  <si>
    <t xml:space="preserve">  🧹  HOUSEHOLD CHORES</t>
  </si>
  <si>
    <t xml:space="preserve">I do groceries</t>
  </si>
  <si>
    <t xml:space="preserve">times per week.</t>
  </si>
  <si>
    <t xml:space="preserve">Each grocery run takes</t>
  </si>
  <si>
    <t xml:space="preserve">minutes (incl. travel).</t>
  </si>
  <si>
    <t xml:space="preserve">hours per week on groceries.</t>
  </si>
  <si>
    <t xml:space="preserve">I clean the house</t>
  </si>
  <si>
    <t xml:space="preserve">Each cleaning session takes</t>
  </si>
  <si>
    <t xml:space="preserve">minutes.</t>
  </si>
  <si>
    <t xml:space="preserve">hours per week on cleaning.</t>
  </si>
  <si>
    <t xml:space="preserve">Other misc. chores take</t>
  </si>
  <si>
    <t xml:space="preserve">hours per week.</t>
  </si>
  <si>
    <t xml:space="preserve">hours per week on misc. chores.</t>
  </si>
  <si>
    <t xml:space="preserve">🧹 In total, I spend</t>
  </si>
  <si>
    <t xml:space="preserve">  👶  CHILDCARE</t>
  </si>
  <si>
    <t xml:space="preserve">Each weekday I spend</t>
  </si>
  <si>
    <t xml:space="preserve">hours actively on childcare.</t>
  </si>
  <si>
    <t xml:space="preserve">hours on weekdays on childcare.</t>
  </si>
  <si>
    <t xml:space="preserve">Each weekend day I spend</t>
  </si>
  <si>
    <t xml:space="preserve">hours on weekends on childcare.</t>
  </si>
  <si>
    <t xml:space="preserve">Child admin &amp; logistics take</t>
  </si>
  <si>
    <t xml:space="preserve">hours per week on child admin.</t>
  </si>
  <si>
    <t xml:space="preserve">👶 In total, I spend</t>
  </si>
  <si>
    <t xml:space="preserve">  🏋️  FITNESS</t>
  </si>
  <si>
    <t xml:space="preserve">Each week, I spend</t>
  </si>
  <si>
    <t xml:space="preserve">hours exercising (incl. commute time).</t>
  </si>
  <si>
    <t xml:space="preserve">hours per week exercising.</t>
  </si>
  <si>
    <t xml:space="preserve">hours on other fitness-related things.</t>
  </si>
  <si>
    <t xml:space="preserve">hours per week on other fitness.</t>
  </si>
  <si>
    <t xml:space="preserve">🏋️ In total, I spend</t>
  </si>
  <si>
    <t xml:space="preserve">  📺  ENTERTAINMENT</t>
  </si>
  <si>
    <t xml:space="preserve">hours watching TV shows / movies.</t>
  </si>
  <si>
    <t xml:space="preserve">hours per week on TV / movies.</t>
  </si>
  <si>
    <t xml:space="preserve">hours on social media apps.</t>
  </si>
  <si>
    <t xml:space="preserve">hours per week on social media.</t>
  </si>
  <si>
    <t xml:space="preserve">hours reading.</t>
  </si>
  <si>
    <t xml:space="preserve">hours per week reading.</t>
  </si>
  <si>
    <t xml:space="preserve">hours on other entertainment.</t>
  </si>
  <si>
    <t xml:space="preserve">hours per week on other entertainment.</t>
  </si>
  <si>
    <t xml:space="preserve">📺 In total, I spend</t>
  </si>
  <si>
    <t xml:space="preserve">  ❤️  RELATIONSHIPS</t>
  </si>
  <si>
    <t xml:space="preserve">hours on quality family time.</t>
  </si>
  <si>
    <t xml:space="preserve">hours per week on family time.</t>
  </si>
  <si>
    <t xml:space="preserve">hours on other socialising time.</t>
  </si>
  <si>
    <t xml:space="preserve">hours per week socialising.</t>
  </si>
  <si>
    <t xml:space="preserve">❤️ In total, I spend</t>
  </si>
  <si>
    <t xml:space="preserve">  📚  LEARNING</t>
  </si>
  <si>
    <t xml:space="preserve">Courses &amp; structured learning take</t>
  </si>
  <si>
    <t xml:space="preserve">hours per week on courses.</t>
  </si>
  <si>
    <t xml:space="preserve">Books, articles &amp; study take</t>
  </si>
  <si>
    <t xml:space="preserve">hours per week studying.</t>
  </si>
  <si>
    <t xml:space="preserve">I listen to podcasts / audiobooks for</t>
  </si>
  <si>
    <t xml:space="preserve">minutes per day.</t>
  </si>
  <si>
    <t xml:space="preserve">hours per week on podcasts.</t>
  </si>
  <si>
    <t xml:space="preserve">📚 In total, I spend</t>
  </si>
  <si>
    <t xml:space="preserve">  🌱  PERSONAL DEVELOPMENT</t>
  </si>
  <si>
    <t xml:space="preserve">I journal for</t>
  </si>
  <si>
    <t xml:space="preserve">hours per week journaling.</t>
  </si>
  <si>
    <t xml:space="preserve">I meditate for</t>
  </si>
  <si>
    <t xml:space="preserve">hours per week meditating.</t>
  </si>
  <si>
    <t xml:space="preserve">Weekly planning &amp; review takes</t>
  </si>
  <si>
    <t xml:space="preserve">hours per week planning.</t>
  </si>
  <si>
    <t xml:space="preserve">🌱 In total, I spend</t>
  </si>
  <si>
    <t xml:space="preserve">  🙏  SPIRITUAL</t>
  </si>
  <si>
    <t xml:space="preserve">Daily practice takes</t>
  </si>
  <si>
    <t xml:space="preserve">hours per week on daily practice.</t>
  </si>
  <si>
    <t xml:space="preserve">Services &amp; community take</t>
  </si>
  <si>
    <t xml:space="preserve">hours per week on services.</t>
  </si>
  <si>
    <t xml:space="preserve">🙏 In total, I spend</t>
  </si>
  <si>
    <t xml:space="preserve">  🚗  TRAVEL</t>
  </si>
  <si>
    <t xml:space="preserve">Errands &amp; getting around (non-commute) take</t>
  </si>
  <si>
    <t xml:space="preserve">hours per week on errands.</t>
  </si>
  <si>
    <t xml:space="preserve">Trips &amp; other travel take</t>
  </si>
  <si>
    <t xml:space="preserve">hours per week on trips.</t>
  </si>
  <si>
    <t xml:space="preserve">🚗 In total, I spend</t>
  </si>
  <si>
    <t xml:space="preserve">  🗂️  ADMIN</t>
  </si>
  <si>
    <t xml:space="preserve">Finances, email &amp; life admin take</t>
  </si>
  <si>
    <t xml:space="preserve">hours per week on life admin.</t>
  </si>
  <si>
    <t xml:space="preserve">Appointments &amp; paperwork take</t>
  </si>
  <si>
    <t xml:space="preserve">minutes per week.</t>
  </si>
  <si>
    <t xml:space="preserve">hours per week on paperwork.</t>
  </si>
  <si>
    <t xml:space="preserve">🗂️ In total, I spend</t>
  </si>
  <si>
    <t xml:space="preserve">  📈  BUSINESS DEVELOPMENT</t>
  </si>
  <si>
    <t xml:space="preserve">hours per week on sales, partnerships &amp; growth.</t>
  </si>
  <si>
    <t xml:space="preserve">hours per week on business development.</t>
  </si>
  <si>
    <t xml:space="preserve">📈 In total, I spend</t>
  </si>
  <si>
    <t xml:space="preserve">  🎬  CONTENT CREATION</t>
  </si>
  <si>
    <t xml:space="preserve">I create content for</t>
  </si>
  <si>
    <t xml:space="preserve">hours per week creating content.</t>
  </si>
  <si>
    <t xml:space="preserve">🎬 In total, I spend</t>
  </si>
  <si>
    <t xml:space="preserve">📆 Current Week — plan, then perform</t>
  </si>
  <si>
    <t xml:space="preserve">Leave "My plan" blank to use your Ideal Week. Actuals arrive from the 📅 Daily Tracker automatically.</t>
  </si>
  <si>
    <t xml:space="preserve">starts:</t>
  </si>
  <si>
    <t xml:space="preserve">Ideal</t>
  </si>
  <si>
    <t xml:space="preserve">My plan</t>
  </si>
  <si>
    <t xml:space="preserve">Planned</t>
  </si>
  <si>
    <t xml:space="preserve">Actual</t>
  </si>
  <si>
    <t xml:space="preserve">Variance</t>
  </si>
  <si>
    <t xml:space="preserve">Remaining</t>
  </si>
  <si>
    <t xml:space="preserve">% of plan</t>
  </si>
  <si>
    <t xml:space="preserve">Total planned / logged</t>
  </si>
  <si>
    <t xml:space="preserve">Free / remaining hours</t>
  </si>
  <si>
    <t xml:space="preserve">Utilization</t>
  </si>
  <si>
    <t xml:space="preserve">📅 Daily Tracker — the execution engine</t>
  </si>
  <si>
    <t xml:space="preserve">Log each block: date, category, actual hours, notes. Week, month and year totals build themselves.</t>
  </si>
  <si>
    <t xml:space="preserve">  📅  DAILY LOG</t>
  </si>
  <si>
    <t xml:space="preserve">  ⚡ TODAY</t>
  </si>
  <si>
    <t xml:space="preserve">Date</t>
  </si>
  <si>
    <t xml:space="preserve">Day</t>
  </si>
  <si>
    <t xml:space="preserve">Plan/day</t>
  </si>
  <si>
    <t xml:space="preserve">Actual h</t>
  </si>
  <si>
    <t xml:space="preserve">Notes</t>
  </si>
  <si>
    <t xml:space="preserve">Prod.</t>
  </si>
  <si>
    <t xml:space="preserve">Daily total</t>
  </si>
  <si>
    <t xml:space="preserve">Remaining today</t>
  </si>
  <si>
    <t xml:space="preserve">Productivity score</t>
  </si>
  <si>
    <t xml:space="preserve">  📊  LAST 7 DAYS</t>
  </si>
  <si>
    <t xml:space="preserve">Logged</t>
  </si>
  <si>
    <t xml:space="preserve">Left</t>
  </si>
  <si>
    <t xml:space="preserve">Prod %</t>
  </si>
  <si>
    <t xml:space="preserve">🗓️ Monthly Review</t>
  </si>
  <si>
    <t xml:space="preserve">Everything derives automatically from the 📅 Daily Tracker log.</t>
  </si>
  <si>
    <t xml:space="preserve">  🗓️  MONTHLY SUMMARY</t>
  </si>
  <si>
    <t xml:space="preserve">  📆  WEEKLY BREAKDOWN</t>
  </si>
  <si>
    <t xml:space="preserve">Ideal month</t>
  </si>
  <si>
    <t xml:space="preserve">Actual month</t>
  </si>
  <si>
    <t xml:space="preserve">% of month</t>
  </si>
  <si>
    <t xml:space="preserve">Rank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</si>
  <si>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</si>
  <si>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</si>
  <si>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</si>
  <si>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</si>
  <si>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</si>
  <si>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Total</t>
  </si>
  <si>
    <t xml:space="preserve">  💡  MONTHLY INSIGHTS</t>
  </si>
  <si>
    <t xml:space="preserve">🎯 Annual Review</t>
  </si>
  <si>
    <t xml:space="preserve">Ideal Week × 52 versus what you actually logged. Small weekly numbers become life-sized here.</t>
  </si>
  <si>
    <t xml:space="preserve">  🎯  YEAR — PLAN VS REALITY</t>
  </si>
  <si>
    <t xml:space="preserve">Weekly h</t>
  </si>
  <si>
    <t xml:space="preserve">Annual plan</t>
  </si>
  <si>
    <t xml:space="preserve">Actual YTD</t>
  </si>
  <si>
    <t xml:space="preserve">On pace</t>
  </si>
  <si>
    <t xml:space="preserve">Annual days</t>
  </si>
  <si>
    <t xml:space="preserve">% of year</t>
  </si>
  <si>
    <t xml:space="preserve">Balance</t>
  </si>
  <si>
    <t xml:space="preserve">  📖  YEAR IN REVIEW</t>
  </si>
  <si>
    <t xml:space="preserve">ASCENSION OS™ — Executive Dashboard</t>
  </si>
  <si>
    <t xml:space="preserve">Read-only command centre. Inputs live on 🌟 Ideal Week, 📆 Current Week and 📅 Daily Tracker.</t>
  </si>
  <si>
    <t xml:space="preserve">  🚦  SIGNALS</t>
  </si>
  <si>
    <t xml:space="preserve">LIFE AREA</t>
  </si>
  <si>
    <t xml:space="preserve">HOURS</t>
  </si>
  <si>
    <t xml:space="preserve">😴  Sleep</t>
  </si>
  <si>
    <t xml:space="preserve">💼  Work</t>
  </si>
  <si>
    <t xml:space="preserve">🎯  Deep Work</t>
  </si>
  <si>
    <t xml:space="preserve">🗣️  Meetings</t>
  </si>
  <si>
    <t xml:space="preserve">🍕  Food</t>
  </si>
  <si>
    <t xml:space="preserve">🧹  Household Chores</t>
  </si>
  <si>
    <t xml:space="preserve">  🎯  GOAL PROGRESS</t>
  </si>
  <si>
    <t xml:space="preserve">👶  Childcare</t>
  </si>
  <si>
    <t xml:space="preserve">Goal</t>
  </si>
  <si>
    <t xml:space="preserve">Now</t>
  </si>
  <si>
    <t xml:space="preserve">Target</t>
  </si>
  <si>
    <t xml:space="preserve">%</t>
  </si>
  <si>
    <t xml:space="preserve">🏋️  Fitness</t>
  </si>
  <si>
    <t xml:space="preserve">📺  Entertainment</t>
  </si>
  <si>
    <t xml:space="preserve">Sleep (h/week)</t>
  </si>
  <si>
    <t xml:space="preserve">❤️  Relationships</t>
  </si>
  <si>
    <t xml:space="preserve">Free time buffer</t>
  </si>
  <si>
    <t xml:space="preserve">📚  Learning</t>
  </si>
  <si>
    <t xml:space="preserve">🌱  Personal Development</t>
  </si>
  <si>
    <t xml:space="preserve">  📈  TRENDS — LOGGED HOURS, LAST 4 WEEKS</t>
  </si>
  <si>
    <t xml:space="preserve">🙏  Spiritual</t>
  </si>
  <si>
    <t xml:space="preserve">3 weeks ago</t>
  </si>
  <si>
    <t xml:space="preserve">2 weeks ago</t>
  </si>
  <si>
    <t xml:space="preserve">Last week</t>
  </si>
  <si>
    <t xml:space="preserve">This week</t>
  </si>
  <si>
    <t xml:space="preserve">🚗  Travel</t>
  </si>
  <si>
    <t xml:space="preserve">🗂️  Admin</t>
  </si>
  <si>
    <t xml:space="preserve">📈  Business Development</t>
  </si>
  <si>
    <t xml:space="preserve">  💡  EXECUTIVE INSIGHTS</t>
  </si>
  <si>
    <t xml:space="preserve">🎬  Content Creation</t>
  </si>
  <si>
    <t xml:space="preserve">✅  Free Time</t>
  </si>
  <si>
    <t xml:space="preserve">❌  Total Non-Free Time</t>
  </si>
  <si>
    <t xml:space="preserve">📖 Start Here — how to run ASCENSION OS™</t>
  </si>
  <si>
    <t xml:space="preserve">  🧭  THE OPERATING SYSTEM</t>
  </si>
  <si>
    <t xml:space="preserve">Everyone gets 24 hours a day and 168 hours a week. ASCENSION OS™ treats them like a budget: design on 🌟 Ideal Week, commit on 📆 Current Week, execute on 📅 Daily Tracker — every dashboard and review reconciles automatically.</t>
  </si>
  <si>
    <t xml:space="preserve">Every sheet carries the same executive KPI strip on top, plus a live line of what you logged today / this week / this month / this year — no tab switching needed to know where you stand.</t>
  </si>
  <si>
    <t xml:space="preserve">  ✏️  RULE #1 — ONLY EDIT LIGHT-BLUE CELLS</t>
  </si>
  <si>
    <t xml:space="preserve">Every editable cell has a light-blue background. Everything else is a formula.</t>
  </si>
  <si>
    <t xml:space="preserve">  🚀  THE OPERATING LOOP</t>
  </si>
  <si>
    <t xml:space="preserve">1.  DESIGN — answer the guided sentences on 🌟 Ideal Week.</t>
  </si>
  <si>
    <t xml:space="preserve">2.  COMMIT — on 📆 Current Week, optionally override any category for this week ("My plan"). Blank = ideal.</t>
  </si>
  <si>
    <t xml:space="preserve">3.  EXECUTE — log real blocks on 📅 Daily Tracker: date, category (dropdown), hours, notes. The Today panel scores your day live.</t>
  </si>
  <si>
    <t xml:space="preserve">4.  REVIEW — 🗓️ Monthly Review and 🎯 Annual Review build themselves. 📊 Dashboard is the command centre.</t>
  </si>
  <si>
    <t xml:space="preserve">  ➕  CUSTOM CATEGORIES &amp; GOALS</t>
  </si>
  <si>
    <t xml:space="preserve">Add categories in the blue rows at the bottom of the ⚙️ Settings master table.</t>
  </si>
  <si>
    <t xml:space="preserve">Work days, sleep goal and your weekly productive target also live on ⚙️ Settings.</t>
  </si>
  <si>
    <t xml:space="preserve">  🎯  BALANCE SCORE</t>
  </si>
  <si>
    <t xml:space="preserve">A 0–100 gauge: sleep at goal, total work (work + deep work + meetings) ≤ 55 h, fitness ≥ 3 h, relationships ≥ 3 h, learning + personal development ≥ 2 h, free time ≥ 5 h, nothing over-allocated. 80+ = sustainable.</t>
  </si>
  <si>
    <t xml:space="preserve">  📐  ASSUMPTIONS</t>
  </si>
  <si>
    <t xml:space="preserve">Monthly = weekly × 4, yearly = weekly × 52 (editable on ⚙️ Settings; use 4.345 / 52.18 for calendar-accurate maths).</t>
  </si>
  <si>
    <t xml:space="preserve">The week runs Monday–Sunday. The Daily Tracker holds 150 log rows — clear old rows when you start a fresh period.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</si>
</sst>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##"/>
    <numFmt numFmtId="166" formatCode="0.###"/>
    <numFmt numFmtId="167" formatCode="0.0"/>
    <numFmt numFmtId="168" formatCode="0.0%"/>
    <numFmt numFmtId="169" formatCode="General"/>
    <numFmt numFmtId="170" formatCode="0"/>
    <numFmt numFmtId="171" formatCode="#,##0"/>
    <numFmt numFmtId="172" formatCode="yyyy\-mm\-dd"/>
    <numFmt numFmtId="173" formatCode="0%"/>
    <numFmt numFmtId="174" formatCode="0.00"/>
    <numFmt numFmtId="175" formatCode="0.0#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5B6B7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B6B7C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8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name val="Arial"/>
      <family val="2"/>
    </font>
    <font>
      <b val="true"/>
      <sz val="7"/>
      <color rgb="FF94A3B8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9"/>
      <color rgb="FF5B6B7C"/>
      <name val="Arial"/>
      <family val="0"/>
      <charset val="1"/>
    </font>
    <font>
      <b val="true"/>
      <sz val="10"/>
      <color rgb="FF2E9E4F"/>
      <name val="Arial"/>
      <family val="0"/>
      <charset val="1"/>
    </font>
    <font>
      <sz val="10"/>
      <color rgb="FF94A3B8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B5AE"/>
        <bgColor rgb="FF4BACC6"/>
      </patternFill>
    </fill>
    <fill>
      <patternFill patternType="solid">
        <fgColor rgb="FFDDEBF7"/>
        <bgColor rgb="FFF3F6F9"/>
      </patternFill>
    </fill>
    <fill>
      <patternFill patternType="solid">
        <fgColor rgb="FFF3F6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7791F"/>
        <sz val="10"/>
      </font>
      <fill>
        <patternFill>
          <bgColor rgb="FFFCEFC7"/>
        </patternFill>
      </fill>
    </dxf>
    <dxf>
      <font>
        <name val="Arial"/>
        <charset val="1"/>
        <family val="0"/>
        <b val="1"/>
        <color rgb="FF2E9E4F"/>
        <sz val="13"/>
      </font>
    </dxf>
    <dxf>
      <font>
        <name val="Arial"/>
        <charset val="1"/>
        <family val="0"/>
        <b val="1"/>
        <color rgb="FFC0392B"/>
        <sz val="13"/>
      </font>
    </dxf>
    <dxf>
      <font>
        <name val="Arial"/>
        <charset val="1"/>
        <family val="0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color rgb="FFB7791F"/>
        <sz val="10"/>
      </font>
      <fill>
        <patternFill>
          <bgColor rgb="FFFCEF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A9CEDC"/>
      <rgbColor rgb="FFFF00FF"/>
      <rgbColor rgb="FF00FFFF"/>
      <rgbColor rgb="FF800000"/>
      <rgbColor rgb="FF008000"/>
      <rgbColor rgb="FF000080"/>
      <rgbColor rgb="FF809B49"/>
      <rgbColor rgb="FF8064A2"/>
      <rgbColor rgb="FF17817B"/>
      <rgbColor rgb="FFB7B7B7"/>
      <rgbColor rgb="FF878787"/>
      <rgbColor rgb="FFAABAD7"/>
      <rgbColor rgb="FF9F423F"/>
      <rgbColor rgb="FFFCEFC7"/>
      <rgbColor rgb="FFDDEBF7"/>
      <rgbColor rgb="FF660066"/>
      <rgbColor rgb="FFF79646"/>
      <rgbColor rgb="FF4F81BD"/>
      <rgbColor rgb="FFBFC9D4"/>
      <rgbColor rgb="FF000080"/>
      <rgbColor rgb="FFFF00FF"/>
      <rgbColor rgb="FFFFFF00"/>
      <rgbColor rgb="FF00FFFF"/>
      <rgbColor rgb="FF800080"/>
      <rgbColor rgb="FF800000"/>
      <rgbColor rgb="FF3E8EA4"/>
      <rgbColor rgb="FF0000FF"/>
      <rgbColor rgb="FF4BACC6"/>
      <rgbColor rgb="FFF3F6F9"/>
      <rgbColor rgb="FFD9D9D9"/>
      <rgbColor rgb="FFFADBD8"/>
      <rgbColor rgb="FF9DC3E6"/>
      <rgbColor rgb="FFD8AAA9"/>
      <rgbColor rgb="FFB9AFC9"/>
      <rgbColor rgb="FFF9C3A8"/>
      <rgbColor rgb="FF416A9C"/>
      <rgbColor rgb="FF2BB5AE"/>
      <rgbColor rgb="FF9BBB59"/>
      <rgbColor rgb="FFC5D6AC"/>
      <rgbColor rgb="FFF6A21D"/>
      <rgbColor rgb="FFCC7C3A"/>
      <rgbColor rgb="FF5B6B7C"/>
      <rgbColor rgb="FF94A3B8"/>
      <rgbColor rgb="FF003366"/>
      <rgbColor rgb="FF2E9E4F"/>
      <rgbColor rgb="FF003300"/>
      <rgbColor rgb="FFB7791F"/>
      <rgbColor rgb="FFC0392B"/>
      <rgbColor rgb="FFC0504D"/>
      <rgbColor rgb="FF6A5286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does my time split look like by %?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Dashboard'!M8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b9afc9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a9cedc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f9c3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'📊 Dashboard'!$L$9:$L$26</c:f>
              <c:strCache>
                <c:ptCount val="18"/>
                <c:pt idx="0">
                  <c:v>😴  Sleep</c:v>
                </c:pt>
                <c:pt idx="1">
                  <c:v>💼  Work</c:v>
                </c:pt>
                <c:pt idx="2">
                  <c:v>🎯  Deep Work</c:v>
                </c:pt>
                <c:pt idx="3">
                  <c:v>🗣️  Meetings</c:v>
                </c:pt>
                <c:pt idx="4">
                  <c:v>🍕  Food</c:v>
                </c:pt>
                <c:pt idx="5">
                  <c:v>🧹  Household Chores</c:v>
                </c:pt>
                <c:pt idx="6">
                  <c:v>👶  Childcare</c:v>
                </c:pt>
                <c:pt idx="7">
                  <c:v>🏋️  Fitness</c:v>
                </c:pt>
                <c:pt idx="8">
                  <c:v>📺  Entertainment</c:v>
                </c:pt>
                <c:pt idx="9">
                  <c:v>❤️  Relationships</c:v>
                </c:pt>
                <c:pt idx="10">
                  <c:v>📚  Learning</c:v>
                </c:pt>
                <c:pt idx="11">
                  <c:v>🌱  Personal Development</c:v>
                </c:pt>
                <c:pt idx="12">
                  <c:v>🙏  Spiritual</c:v>
                </c:pt>
                <c:pt idx="13">
                  <c:v>🚗  Travel</c:v>
                </c:pt>
                <c:pt idx="14">
                  <c:v>🗂️  Admin</c:v>
                </c:pt>
                <c:pt idx="15">
                  <c:v>📈  Business Development</c:v>
                </c:pt>
                <c:pt idx="16">
                  <c:v>🎬  Content Creation</c:v>
                </c:pt>
                <c:pt idx="17">
                  <c:v>✅  Free Time</c:v>
                </c:pt>
              </c:strCache>
            </c:strRef>
          </c:cat>
          <c:val>
            <c:numRef>
              <c:f>'📊 Dashboard'!$M$9:$M$26</c:f>
              <c:numCache>
                <c:formatCode>0.0</c:formatCode>
                <c:ptCount val="18"/>
                <c:pt idx="0">
                  <c:v>57.1666666666667</c:v>
                </c:pt>
                <c:pt idx="1">
                  <c:v>23</c:v>
                </c:pt>
                <c:pt idx="2">
                  <c:v>12</c:v>
                </c:pt>
                <c:pt idx="3">
                  <c:v>5</c:v>
                </c:pt>
                <c:pt idx="4">
                  <c:v>5.91666666666667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12</c:v>
                </c:pt>
                <c:pt idx="9">
                  <c:v>6</c:v>
                </c:pt>
                <c:pt idx="10">
                  <c:v>4.33333333333333</c:v>
                </c:pt>
                <c:pt idx="11">
                  <c:v>3.33333333333333</c:v>
                </c:pt>
                <c:pt idx="12">
                  <c:v>0</c:v>
                </c:pt>
                <c:pt idx="13">
                  <c:v>1.5</c:v>
                </c:pt>
                <c:pt idx="14">
                  <c:v>2.5</c:v>
                </c:pt>
                <c:pt idx="15">
                  <c:v>4</c:v>
                </c:pt>
                <c:pt idx="16">
                  <c:v>6</c:v>
                </c:pt>
                <c:pt idx="17">
                  <c:v>11.25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does my time split look like overall?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Dashboard'!M8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f6a21d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Dashboard'!$L$9:$L$26</c:f>
              <c:strCache>
                <c:ptCount val="18"/>
                <c:pt idx="0">
                  <c:v>😴  Sleep</c:v>
                </c:pt>
                <c:pt idx="1">
                  <c:v>💼  Work</c:v>
                </c:pt>
                <c:pt idx="2">
                  <c:v>🎯  Deep Work</c:v>
                </c:pt>
                <c:pt idx="3">
                  <c:v>🗣️  Meetings</c:v>
                </c:pt>
                <c:pt idx="4">
                  <c:v>🍕  Food</c:v>
                </c:pt>
                <c:pt idx="5">
                  <c:v>🧹  Household Chores</c:v>
                </c:pt>
                <c:pt idx="6">
                  <c:v>👶  Childcare</c:v>
                </c:pt>
                <c:pt idx="7">
                  <c:v>🏋️  Fitness</c:v>
                </c:pt>
                <c:pt idx="8">
                  <c:v>📺  Entertainment</c:v>
                </c:pt>
                <c:pt idx="9">
                  <c:v>❤️  Relationships</c:v>
                </c:pt>
                <c:pt idx="10">
                  <c:v>📚  Learning</c:v>
                </c:pt>
                <c:pt idx="11">
                  <c:v>🌱  Personal Development</c:v>
                </c:pt>
                <c:pt idx="12">
                  <c:v>🙏  Spiritual</c:v>
                </c:pt>
                <c:pt idx="13">
                  <c:v>🚗  Travel</c:v>
                </c:pt>
                <c:pt idx="14">
                  <c:v>🗂️  Admin</c:v>
                </c:pt>
                <c:pt idx="15">
                  <c:v>📈  Business Development</c:v>
                </c:pt>
                <c:pt idx="16">
                  <c:v>🎬  Content Creation</c:v>
                </c:pt>
                <c:pt idx="17">
                  <c:v>✅  Free Time</c:v>
                </c:pt>
              </c:strCache>
            </c:strRef>
          </c:cat>
          <c:val>
            <c:numRef>
              <c:f>'📊 Dashboard'!$M$9:$M$26</c:f>
              <c:numCache>
                <c:formatCode>0.0</c:formatCode>
                <c:ptCount val="18"/>
                <c:pt idx="0">
                  <c:v>57.1666666666667</c:v>
                </c:pt>
                <c:pt idx="1">
                  <c:v>23</c:v>
                </c:pt>
                <c:pt idx="2">
                  <c:v>12</c:v>
                </c:pt>
                <c:pt idx="3">
                  <c:v>5</c:v>
                </c:pt>
                <c:pt idx="4">
                  <c:v>5.91666666666667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12</c:v>
                </c:pt>
                <c:pt idx="9">
                  <c:v>6</c:v>
                </c:pt>
                <c:pt idx="10">
                  <c:v>4.33333333333333</c:v>
                </c:pt>
                <c:pt idx="11">
                  <c:v>3.33333333333333</c:v>
                </c:pt>
                <c:pt idx="12">
                  <c:v>0</c:v>
                </c:pt>
                <c:pt idx="13">
                  <c:v>1.5</c:v>
                </c:pt>
                <c:pt idx="14">
                  <c:v>2.5</c:v>
                </c:pt>
                <c:pt idx="15">
                  <c:v>4</c:v>
                </c:pt>
                <c:pt idx="16">
                  <c:v>6</c:v>
                </c:pt>
                <c:pt idx="17">
                  <c:v>11.25</c:v>
                </c:pt>
              </c:numCache>
            </c:numRef>
          </c:val>
        </c:ser>
        <c:gapWidth val="150"/>
        <c:overlap val="0"/>
        <c:axId val="77626793"/>
        <c:axId val="3263546"/>
      </c:barChart>
      <c:catAx>
        <c:axId val="77626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3546"/>
        <c:crosses val="autoZero"/>
        <c:auto val="1"/>
        <c:lblAlgn val="ctr"/>
        <c:lblOffset val="100"/>
        <c:noMultiLvlLbl val="0"/>
      </c:catAx>
      <c:valAx>
        <c:axId val="326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26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130680</xdr:rowOff>
    </xdr:from>
    <xdr:to>
      <xdr:col>4</xdr:col>
      <xdr:colOff>204480</xdr:colOff>
      <xdr:row>45</xdr:row>
      <xdr:rowOff>34200</xdr:rowOff>
    </xdr:to>
    <xdr:graphicFrame>
      <xdr:nvGraphicFramePr>
        <xdr:cNvPr id="0" name="Chart 1"/>
        <xdr:cNvGraphicFramePr/>
      </xdr:nvGraphicFramePr>
      <xdr:xfrm>
        <a:off x="177840" y="6114960"/>
        <a:ext cx="367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130680</xdr:rowOff>
    </xdr:from>
    <xdr:to>
      <xdr:col>10</xdr:col>
      <xdr:colOff>204480</xdr:colOff>
      <xdr:row>49</xdr:row>
      <xdr:rowOff>100440</xdr:rowOff>
    </xdr:to>
    <xdr:graphicFrame>
      <xdr:nvGraphicFramePr>
        <xdr:cNvPr id="1" name="Chart 2"/>
        <xdr:cNvGraphicFramePr/>
      </xdr:nvGraphicFramePr>
      <xdr:xfrm>
        <a:off x="5956200" y="6114960"/>
        <a:ext cx="3671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17B"/>
    <pageSetUpPr fitToPage="false"/>
  </sheetPr>
  <dimension ref="B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4" t="s">
        <v>3</v>
      </c>
      <c r="C6" s="4"/>
      <c r="D6" s="5" t="n">
        <v>6</v>
      </c>
      <c r="E6" s="6" t="s">
        <v>4</v>
      </c>
      <c r="F6" s="6"/>
      <c r="G6" s="6"/>
      <c r="H6" s="6"/>
      <c r="I6" s="6"/>
      <c r="J6" s="6"/>
    </row>
    <row r="7" customFormat="false" ht="15" hidden="false" customHeight="false" outlineLevel="0" collapsed="false">
      <c r="B7" s="4" t="s">
        <v>5</v>
      </c>
      <c r="C7" s="4"/>
      <c r="D7" s="5" t="n">
        <v>7.5</v>
      </c>
      <c r="E7" s="6" t="s">
        <v>6</v>
      </c>
      <c r="F7" s="6"/>
      <c r="G7" s="6"/>
      <c r="H7" s="6"/>
      <c r="I7" s="6"/>
      <c r="J7" s="6"/>
    </row>
    <row r="8" customFormat="false" ht="15" hidden="false" customHeight="false" outlineLevel="0" collapsed="false">
      <c r="B8" s="4" t="s">
        <v>7</v>
      </c>
      <c r="C8" s="4"/>
      <c r="D8" s="5" t="n">
        <v>45</v>
      </c>
      <c r="E8" s="6" t="s">
        <v>8</v>
      </c>
      <c r="F8" s="6"/>
      <c r="G8" s="6"/>
      <c r="H8" s="6"/>
      <c r="I8" s="6"/>
      <c r="J8" s="6"/>
    </row>
    <row r="9" customFormat="false" ht="21.75" hidden="false" customHeight="true" outlineLevel="0" collapsed="false">
      <c r="B9" s="3" t="s">
        <v>9</v>
      </c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B10" s="4" t="s">
        <v>10</v>
      </c>
      <c r="C10" s="4"/>
      <c r="D10" s="7" t="n">
        <v>24</v>
      </c>
    </row>
    <row r="11" customFormat="false" ht="15" hidden="false" customHeight="false" outlineLevel="0" collapsed="false">
      <c r="B11" s="4" t="s">
        <v>11</v>
      </c>
      <c r="C11" s="4"/>
      <c r="D11" s="7" t="n">
        <f aca="false">D10*7</f>
        <v>168</v>
      </c>
    </row>
    <row r="12" customFormat="false" ht="15" hidden="false" customHeight="false" outlineLevel="0" collapsed="false">
      <c r="B12" s="4" t="s">
        <v>12</v>
      </c>
      <c r="C12" s="4"/>
      <c r="D12" s="7" t="n">
        <v>4</v>
      </c>
    </row>
    <row r="13" customFormat="false" ht="15" hidden="false" customHeight="false" outlineLevel="0" collapsed="false">
      <c r="B13" s="4" t="s">
        <v>13</v>
      </c>
      <c r="C13" s="4"/>
      <c r="D13" s="7" t="n">
        <v>52</v>
      </c>
    </row>
    <row r="15" customFormat="false" ht="21.75" hidden="false" customHeight="true" outlineLevel="0" collapsed="false">
      <c r="B15" s="3" t="s">
        <v>14</v>
      </c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B16" s="8"/>
      <c r="C16" s="9" t="s">
        <v>15</v>
      </c>
      <c r="D16" s="9" t="s">
        <v>16</v>
      </c>
      <c r="E16" s="9" t="s">
        <v>17</v>
      </c>
      <c r="F16" s="9" t="s">
        <v>18</v>
      </c>
      <c r="G16" s="9" t="s">
        <v>19</v>
      </c>
      <c r="H16" s="9" t="s">
        <v>20</v>
      </c>
      <c r="I16" s="9" t="s">
        <v>21</v>
      </c>
      <c r="J16" s="9" t="s">
        <v>22</v>
      </c>
    </row>
    <row r="17" customFormat="false" ht="15" hidden="false" customHeight="false" outlineLevel="0" collapsed="false">
      <c r="B17" s="10" t="s">
        <v>23</v>
      </c>
      <c r="C17" s="11" t="s">
        <v>24</v>
      </c>
      <c r="D17" s="12" t="n">
        <f aca="false">'🌟 Ideal Week'!$F$13</f>
        <v>57.1666666666667</v>
      </c>
      <c r="E17" s="13" t="n">
        <f aca="false">IF($C17="","",$D17/'⚙️ Settings'!$D$11)</f>
        <v>0.340277777777778</v>
      </c>
      <c r="F17" s="14" t="n">
        <f aca="false">IF($C17="","",$D17/7)</f>
        <v>8.16666666666667</v>
      </c>
      <c r="G17" s="15" t="b">
        <f aca="false">FALSE()</f>
        <v>0</v>
      </c>
      <c r="H17" s="16" t="n">
        <v>49</v>
      </c>
      <c r="I17" s="16" t="n">
        <v>63</v>
      </c>
      <c r="J17" s="10" t="str">
        <f aca="false">IF($C17="","",IF(AND($H17&lt;&gt;"",$D17&lt;$H17),"🔻 Low",IF(AND($I17&lt;&gt;"",$D17&gt;$I17),"🔺 High","✅ OK")))</f>
        <v>✅ OK</v>
      </c>
    </row>
    <row r="18" customFormat="false" ht="15" hidden="false" customHeight="false" outlineLevel="0" collapsed="false">
      <c r="B18" s="10" t="s">
        <v>25</v>
      </c>
      <c r="C18" s="11" t="s">
        <v>26</v>
      </c>
      <c r="D18" s="12" t="n">
        <f aca="false">'🌟 Ideal Week'!$F$23</f>
        <v>23</v>
      </c>
      <c r="E18" s="13" t="n">
        <f aca="false">IF($C18="","",$D18/'⚙️ Settings'!$D$11)</f>
        <v>0.136904761904762</v>
      </c>
      <c r="F18" s="14" t="n">
        <f aca="false">IF($C18="","",$D18/7)</f>
        <v>3.28571428571429</v>
      </c>
      <c r="G18" s="15" t="b">
        <f aca="false">TRUE()</f>
        <v>1</v>
      </c>
      <c r="H18" s="16"/>
      <c r="I18" s="16" t="n">
        <v>40</v>
      </c>
      <c r="J18" s="10" t="str">
        <f aca="false">IF($C18="","",IF(AND($H18&lt;&gt;"",$D18&lt;$H18),"🔻 Low",IF(AND($I18&lt;&gt;"",$D18&gt;$I18),"🔺 High","✅ OK")))</f>
        <v>✅ OK</v>
      </c>
    </row>
    <row r="19" customFormat="false" ht="15" hidden="false" customHeight="false" outlineLevel="0" collapsed="false">
      <c r="B19" s="10" t="s">
        <v>27</v>
      </c>
      <c r="C19" s="11" t="s">
        <v>28</v>
      </c>
      <c r="D19" s="12" t="n">
        <f aca="false">'🌟 Ideal Week'!$F$28</f>
        <v>12</v>
      </c>
      <c r="E19" s="13" t="n">
        <f aca="false">IF($C19="","",$D19/'⚙️ Settings'!$D$11)</f>
        <v>0.0714285714285714</v>
      </c>
      <c r="F19" s="14" t="n">
        <f aca="false">IF($C19="","",$D19/7)</f>
        <v>1.71428571428571</v>
      </c>
      <c r="G19" s="15" t="b">
        <f aca="false">TRUE()</f>
        <v>1</v>
      </c>
      <c r="H19" s="16" t="n">
        <v>5</v>
      </c>
      <c r="I19" s="16"/>
      <c r="J19" s="10" t="str">
        <f aca="false">IF($C19="","",IF(AND($H19&lt;&gt;"",$D19&lt;$H19),"🔻 Low",IF(AND($I19&lt;&gt;"",$D19&gt;$I19),"🔺 High","✅ OK")))</f>
        <v>✅ OK</v>
      </c>
    </row>
    <row r="20" customFormat="false" ht="15" hidden="false" customHeight="false" outlineLevel="0" collapsed="false">
      <c r="B20" s="10" t="s">
        <v>29</v>
      </c>
      <c r="C20" s="11" t="s">
        <v>30</v>
      </c>
      <c r="D20" s="12" t="n">
        <f aca="false">'🌟 Ideal Week'!$F$33</f>
        <v>5</v>
      </c>
      <c r="E20" s="13" t="n">
        <f aca="false">IF($C20="","",$D20/'⚙️ Settings'!$D$11)</f>
        <v>0.0297619047619048</v>
      </c>
      <c r="F20" s="14" t="n">
        <f aca="false">IF($C20="","",$D20/7)</f>
        <v>0.714285714285714</v>
      </c>
      <c r="G20" s="15" t="b">
        <f aca="false">TRUE()</f>
        <v>1</v>
      </c>
      <c r="H20" s="16"/>
      <c r="I20" s="16" t="n">
        <v>15</v>
      </c>
      <c r="J20" s="10" t="str">
        <f aca="false">IF($C20="","",IF(AND($H20&lt;&gt;"",$D20&lt;$H20),"🔻 Low",IF(AND($I20&lt;&gt;"",$D20&gt;$I20),"🔺 High","✅ OK")))</f>
        <v>✅ OK</v>
      </c>
    </row>
    <row r="21" customFormat="false" ht="15" hidden="false" customHeight="false" outlineLevel="0" collapsed="false">
      <c r="B21" s="10" t="s">
        <v>31</v>
      </c>
      <c r="C21" s="11" t="s">
        <v>32</v>
      </c>
      <c r="D21" s="12" t="n">
        <f aca="false">'🌟 Ideal Week'!$F$40</f>
        <v>5.91666666666667</v>
      </c>
      <c r="E21" s="13" t="n">
        <f aca="false">IF($C21="","",$D21/'⚙️ Settings'!$D$11)</f>
        <v>0.035218253968254</v>
      </c>
      <c r="F21" s="14" t="n">
        <f aca="false">IF($C21="","",$D21/7)</f>
        <v>0.845238095238095</v>
      </c>
      <c r="G21" s="15" t="b">
        <f aca="false">FALSE()</f>
        <v>0</v>
      </c>
      <c r="H21" s="16" t="n">
        <v>3.5</v>
      </c>
      <c r="I21" s="16" t="n">
        <v>21</v>
      </c>
      <c r="J21" s="10" t="str">
        <f aca="false">IF($C21="","",IF(AND($H21&lt;&gt;"",$D21&lt;$H21),"🔻 Low",IF(AND($I21&lt;&gt;"",$D21&gt;$I21),"🔺 High","✅ OK")))</f>
        <v>✅ OK</v>
      </c>
    </row>
    <row r="22" customFormat="false" ht="15" hidden="false" customHeight="false" outlineLevel="0" collapsed="false">
      <c r="B22" s="10" t="s">
        <v>33</v>
      </c>
      <c r="C22" s="11" t="s">
        <v>34</v>
      </c>
      <c r="D22" s="12" t="n">
        <f aca="false">'🌟 Ideal Week'!$F$49</f>
        <v>4</v>
      </c>
      <c r="E22" s="13" t="n">
        <f aca="false">IF($C22="","",$D22/'⚙️ Settings'!$D$11)</f>
        <v>0.0238095238095238</v>
      </c>
      <c r="F22" s="14" t="n">
        <f aca="false">IF($C22="","",$D22/7)</f>
        <v>0.571428571428571</v>
      </c>
      <c r="G22" s="15" t="b">
        <f aca="false">FALSE()</f>
        <v>0</v>
      </c>
      <c r="H22" s="16"/>
      <c r="I22" s="16" t="n">
        <v>15</v>
      </c>
      <c r="J22" s="10" t="str">
        <f aca="false">IF($C22="","",IF(AND($H22&lt;&gt;"",$D22&lt;$H22),"🔻 Low",IF(AND($I22&lt;&gt;"",$D22&gt;$I22),"🔺 High","✅ OK")))</f>
        <v>✅ OK</v>
      </c>
    </row>
    <row r="23" customFormat="false" ht="15" hidden="false" customHeight="false" outlineLevel="0" collapsed="false">
      <c r="B23" s="10" t="s">
        <v>35</v>
      </c>
      <c r="C23" s="11" t="s">
        <v>36</v>
      </c>
      <c r="D23" s="12" t="n">
        <f aca="false">'🌟 Ideal Week'!$F$56</f>
        <v>0</v>
      </c>
      <c r="E23" s="13" t="n">
        <f aca="false">IF($C23="","",$D23/'⚙️ Settings'!$D$11)</f>
        <v>0</v>
      </c>
      <c r="F23" s="14" t="n">
        <f aca="false">IF($C23="","",$D23/7)</f>
        <v>0</v>
      </c>
      <c r="G23" s="15" t="b">
        <f aca="false">FALSE()</f>
        <v>0</v>
      </c>
      <c r="H23" s="16"/>
      <c r="I23" s="16"/>
      <c r="J23" s="10" t="str">
        <f aca="false">IF($C23="","",IF(AND($H23&lt;&gt;"",$D23&lt;$H23),"🔻 Low",IF(AND($I23&lt;&gt;"",$D23&gt;$I23),"🔺 High","✅ OK")))</f>
        <v>✅ OK</v>
      </c>
    </row>
    <row r="24" customFormat="false" ht="15" hidden="false" customHeight="false" outlineLevel="0" collapsed="false">
      <c r="B24" s="10" t="s">
        <v>37</v>
      </c>
      <c r="C24" s="11" t="s">
        <v>38</v>
      </c>
      <c r="D24" s="12" t="n">
        <f aca="false">'🌟 Ideal Week'!$F$62</f>
        <v>10</v>
      </c>
      <c r="E24" s="13" t="n">
        <f aca="false">IF($C24="","",$D24/'⚙️ Settings'!$D$11)</f>
        <v>0.0595238095238095</v>
      </c>
      <c r="F24" s="14" t="n">
        <f aca="false">IF($C24="","",$D24/7)</f>
        <v>1.42857142857143</v>
      </c>
      <c r="G24" s="15" t="b">
        <f aca="false">TRUE()</f>
        <v>1</v>
      </c>
      <c r="H24" s="16" t="n">
        <v>3</v>
      </c>
      <c r="I24" s="16" t="n">
        <v>20</v>
      </c>
      <c r="J24" s="10" t="str">
        <f aca="false">IF($C24="","",IF(AND($H24&lt;&gt;"",$D24&lt;$H24),"🔻 Low",IF(AND($I24&lt;&gt;"",$D24&gt;$I24),"🔺 High","✅ OK")))</f>
        <v>✅ OK</v>
      </c>
    </row>
    <row r="25" customFormat="false" ht="15" hidden="false" customHeight="false" outlineLevel="0" collapsed="false">
      <c r="B25" s="10" t="s">
        <v>39</v>
      </c>
      <c r="C25" s="11" t="s">
        <v>40</v>
      </c>
      <c r="D25" s="12" t="n">
        <f aca="false">'🌟 Ideal Week'!$F$70</f>
        <v>12</v>
      </c>
      <c r="E25" s="13" t="n">
        <f aca="false">IF($C25="","",$D25/'⚙️ Settings'!$D$11)</f>
        <v>0.0714285714285714</v>
      </c>
      <c r="F25" s="14" t="n">
        <f aca="false">IF($C25="","",$D25/7)</f>
        <v>1.71428571428571</v>
      </c>
      <c r="G25" s="15" t="b">
        <f aca="false">FALSE()</f>
        <v>0</v>
      </c>
      <c r="H25" s="16"/>
      <c r="I25" s="16" t="n">
        <v>25</v>
      </c>
      <c r="J25" s="10" t="str">
        <f aca="false">IF($C25="","",IF(AND($H25&lt;&gt;"",$D25&lt;$H25),"🔻 Low",IF(AND($I25&lt;&gt;"",$D25&gt;$I25),"🔺 High","✅ OK")))</f>
        <v>✅ OK</v>
      </c>
    </row>
    <row r="26" customFormat="false" ht="15" hidden="false" customHeight="false" outlineLevel="0" collapsed="false">
      <c r="B26" s="10" t="s">
        <v>41</v>
      </c>
      <c r="C26" s="11" t="s">
        <v>42</v>
      </c>
      <c r="D26" s="12" t="n">
        <f aca="false">'🌟 Ideal Week'!$F$76</f>
        <v>6</v>
      </c>
      <c r="E26" s="13" t="n">
        <f aca="false">IF($C26="","",$D26/'⚙️ Settings'!$D$11)</f>
        <v>0.0357142857142857</v>
      </c>
      <c r="F26" s="14" t="n">
        <f aca="false">IF($C26="","",$D26/7)</f>
        <v>0.857142857142857</v>
      </c>
      <c r="G26" s="15" t="b">
        <f aca="false">FALSE()</f>
        <v>0</v>
      </c>
      <c r="H26" s="16" t="n">
        <v>3</v>
      </c>
      <c r="I26" s="16"/>
      <c r="J26" s="10" t="str">
        <f aca="false">IF($C26="","",IF(AND($H26&lt;&gt;"",$D26&lt;$H26),"🔻 Low",IF(AND($I26&lt;&gt;"",$D26&gt;$I26),"🔺 High","✅ OK")))</f>
        <v>✅ OK</v>
      </c>
    </row>
    <row r="27" customFormat="false" ht="15" hidden="false" customHeight="false" outlineLevel="0" collapsed="false">
      <c r="B27" s="10" t="s">
        <v>43</v>
      </c>
      <c r="C27" s="11" t="s">
        <v>44</v>
      </c>
      <c r="D27" s="12" t="n">
        <f aca="false">'🌟 Ideal Week'!$F$83</f>
        <v>4.33333333333333</v>
      </c>
      <c r="E27" s="13" t="n">
        <f aca="false">IF($C27="","",$D27/'⚙️ Settings'!$D$11)</f>
        <v>0.0257936507936508</v>
      </c>
      <c r="F27" s="14" t="n">
        <f aca="false">IF($C27="","",$D27/7)</f>
        <v>0.619047619047619</v>
      </c>
      <c r="G27" s="15" t="b">
        <f aca="false">TRUE()</f>
        <v>1</v>
      </c>
      <c r="H27" s="16" t="n">
        <v>1</v>
      </c>
      <c r="I27" s="16"/>
      <c r="J27" s="10" t="str">
        <f aca="false">IF($C27="","",IF(AND($H27&lt;&gt;"",$D27&lt;$H27),"🔻 Low",IF(AND($I27&lt;&gt;"",$D27&gt;$I27),"🔺 High","✅ OK")))</f>
        <v>✅ OK</v>
      </c>
    </row>
    <row r="28" customFormat="false" ht="15" hidden="false" customHeight="false" outlineLevel="0" collapsed="false">
      <c r="B28" s="10" t="s">
        <v>45</v>
      </c>
      <c r="C28" s="11" t="s">
        <v>46</v>
      </c>
      <c r="D28" s="12" t="n">
        <f aca="false">'🌟 Ideal Week'!$F$90</f>
        <v>3.33333333333333</v>
      </c>
      <c r="E28" s="13" t="n">
        <f aca="false">IF($C28="","",$D28/'⚙️ Settings'!$D$11)</f>
        <v>0.0198412698412698</v>
      </c>
      <c r="F28" s="14" t="n">
        <f aca="false">IF($C28="","",$D28/7)</f>
        <v>0.476190476190476</v>
      </c>
      <c r="G28" s="15" t="b">
        <f aca="false">TRUE()</f>
        <v>1</v>
      </c>
      <c r="H28" s="16" t="n">
        <v>1</v>
      </c>
      <c r="I28" s="16"/>
      <c r="J28" s="10" t="str">
        <f aca="false">IF($C28="","",IF(AND($H28&lt;&gt;"",$D28&lt;$H28),"🔻 Low",IF(AND($I28&lt;&gt;"",$D28&gt;$I28),"🔺 High","✅ OK")))</f>
        <v>✅ OK</v>
      </c>
    </row>
    <row r="29" customFormat="false" ht="15" hidden="false" customHeight="false" outlineLevel="0" collapsed="false">
      <c r="B29" s="10" t="s">
        <v>47</v>
      </c>
      <c r="C29" s="11" t="s">
        <v>48</v>
      </c>
      <c r="D29" s="12" t="n">
        <f aca="false">'🌟 Ideal Week'!$F$96</f>
        <v>0</v>
      </c>
      <c r="E29" s="13" t="n">
        <f aca="false">IF($C29="","",$D29/'⚙️ Settings'!$D$11)</f>
        <v>0</v>
      </c>
      <c r="F29" s="14" t="n">
        <f aca="false">IF($C29="","",$D29/7)</f>
        <v>0</v>
      </c>
      <c r="G29" s="15" t="b">
        <f aca="false">FALSE()</f>
        <v>0</v>
      </c>
      <c r="H29" s="16"/>
      <c r="I29" s="16"/>
      <c r="J29" s="10" t="str">
        <f aca="false">IF($C29="","",IF(AND($H29&lt;&gt;"",$D29&lt;$H29),"🔻 Low",IF(AND($I29&lt;&gt;"",$D29&gt;$I29),"🔺 High","✅ OK")))</f>
        <v>✅ OK</v>
      </c>
    </row>
    <row r="30" customFormat="false" ht="15" hidden="false" customHeight="false" outlineLevel="0" collapsed="false">
      <c r="B30" s="10" t="s">
        <v>49</v>
      </c>
      <c r="C30" s="11" t="s">
        <v>50</v>
      </c>
      <c r="D30" s="12" t="n">
        <f aca="false">'🌟 Ideal Week'!$F$102</f>
        <v>1.5</v>
      </c>
      <c r="E30" s="13" t="n">
        <f aca="false">IF($C30="","",$D30/'⚙️ Settings'!$D$11)</f>
        <v>0.00892857142857143</v>
      </c>
      <c r="F30" s="14" t="n">
        <f aca="false">IF($C30="","",$D30/7)</f>
        <v>0.214285714285714</v>
      </c>
      <c r="G30" s="15" t="b">
        <f aca="false">FALSE()</f>
        <v>0</v>
      </c>
      <c r="H30" s="16"/>
      <c r="I30" s="16"/>
      <c r="J30" s="10" t="str">
        <f aca="false">IF($C30="","",IF(AND($H30&lt;&gt;"",$D30&lt;$H30),"🔻 Low",IF(AND($I30&lt;&gt;"",$D30&gt;$I30),"🔺 High","✅ OK")))</f>
        <v>✅ OK</v>
      </c>
    </row>
    <row r="31" customFormat="false" ht="15" hidden="false" customHeight="false" outlineLevel="0" collapsed="false">
      <c r="B31" s="10" t="s">
        <v>51</v>
      </c>
      <c r="C31" s="11" t="s">
        <v>52</v>
      </c>
      <c r="D31" s="12" t="n">
        <f aca="false">'🌟 Ideal Week'!$F$108</f>
        <v>2.5</v>
      </c>
      <c r="E31" s="13" t="n">
        <f aca="false">IF($C31="","",$D31/'⚙️ Settings'!$D$11)</f>
        <v>0.0148809523809524</v>
      </c>
      <c r="F31" s="14" t="n">
        <f aca="false">IF($C31="","",$D31/7)</f>
        <v>0.357142857142857</v>
      </c>
      <c r="G31" s="15" t="b">
        <f aca="false">TRUE()</f>
        <v>1</v>
      </c>
      <c r="H31" s="16"/>
      <c r="I31" s="16"/>
      <c r="J31" s="10" t="str">
        <f aca="false">IF($C31="","",IF(AND($H31&lt;&gt;"",$D31&lt;$H31),"🔻 Low",IF(AND($I31&lt;&gt;"",$D31&gt;$I31),"🔺 High","✅ OK")))</f>
        <v>✅ OK</v>
      </c>
    </row>
    <row r="32" customFormat="false" ht="15" hidden="false" customHeight="false" outlineLevel="0" collapsed="false">
      <c r="B32" s="10" t="s">
        <v>53</v>
      </c>
      <c r="C32" s="11" t="s">
        <v>54</v>
      </c>
      <c r="D32" s="12" t="n">
        <f aca="false">'🌟 Ideal Week'!$F$113</f>
        <v>4</v>
      </c>
      <c r="E32" s="13" t="n">
        <f aca="false">IF($C32="","",$D32/'⚙️ Settings'!$D$11)</f>
        <v>0.0238095238095238</v>
      </c>
      <c r="F32" s="14" t="n">
        <f aca="false">IF($C32="","",$D32/7)</f>
        <v>0.571428571428571</v>
      </c>
      <c r="G32" s="15" t="b">
        <f aca="false">TRUE()</f>
        <v>1</v>
      </c>
      <c r="H32" s="16"/>
      <c r="I32" s="16"/>
      <c r="J32" s="10" t="str">
        <f aca="false">IF($C32="","",IF(AND($H32&lt;&gt;"",$D32&lt;$H32),"🔻 Low",IF(AND($I32&lt;&gt;"",$D32&gt;$I32),"🔺 High","✅ OK")))</f>
        <v>✅ OK</v>
      </c>
    </row>
    <row r="33" customFormat="false" ht="15" hidden="false" customHeight="false" outlineLevel="0" collapsed="false">
      <c r="B33" s="10" t="s">
        <v>55</v>
      </c>
      <c r="C33" s="11" t="s">
        <v>56</v>
      </c>
      <c r="D33" s="12" t="n">
        <f aca="false">'🌟 Ideal Week'!$F$118</f>
        <v>6</v>
      </c>
      <c r="E33" s="13" t="n">
        <f aca="false">IF($C33="","",$D33/'⚙️ Settings'!$D$11)</f>
        <v>0.0357142857142857</v>
      </c>
      <c r="F33" s="14" t="n">
        <f aca="false">IF($C33="","",$D33/7)</f>
        <v>0.857142857142857</v>
      </c>
      <c r="G33" s="15" t="b">
        <f aca="false">TRUE()</f>
        <v>1</v>
      </c>
      <c r="H33" s="16"/>
      <c r="I33" s="16"/>
      <c r="J33" s="10" t="str">
        <f aca="false">IF($C33="","",IF(AND($H33&lt;&gt;"",$D33&lt;$H33),"🔻 Low",IF(AND($I33&lt;&gt;"",$D33&gt;$I33),"🔺 High","✅ OK")))</f>
        <v>✅ OK</v>
      </c>
    </row>
    <row r="34" customFormat="false" ht="15" hidden="false" customHeight="false" outlineLevel="0" collapsed="false">
      <c r="B34" s="5"/>
      <c r="C34" s="17"/>
      <c r="D34" s="18"/>
      <c r="E34" s="13" t="str">
        <f aca="false">IF($C34="","",$D34/'⚙️ Settings'!$D$11)</f>
        <v/>
      </c>
      <c r="F34" s="14" t="str">
        <f aca="false">IF($C34="","",$D34/7)</f>
        <v/>
      </c>
      <c r="G34" s="19" t="b">
        <f aca="false">FALSE()</f>
        <v>0</v>
      </c>
      <c r="H34" s="16"/>
      <c r="I34" s="16"/>
      <c r="J34" s="10" t="str">
        <f aca="false">IF($C34="","",IF(AND($H34&lt;&gt;"",$D34&lt;$H34),"🔻 Low",IF(AND($I34&lt;&gt;"",$D34&gt;$I34),"🔺 High","✅ OK")))</f>
        <v/>
      </c>
    </row>
    <row r="35" customFormat="false" ht="15" hidden="false" customHeight="false" outlineLevel="0" collapsed="false">
      <c r="B35" s="5"/>
      <c r="C35" s="17"/>
      <c r="D35" s="18"/>
      <c r="E35" s="13" t="str">
        <f aca="false">IF($C35="","",$D35/'⚙️ Settings'!$D$11)</f>
        <v/>
      </c>
      <c r="F35" s="14" t="str">
        <f aca="false">IF($C35="","",$D35/7)</f>
        <v/>
      </c>
      <c r="G35" s="19" t="b">
        <f aca="false">FALSE()</f>
        <v>0</v>
      </c>
      <c r="H35" s="16"/>
      <c r="I35" s="16"/>
      <c r="J35" s="10" t="str">
        <f aca="false">IF($C35="","",IF(AND($H35&lt;&gt;"",$D35&lt;$H35),"🔻 Low",IF(AND($I35&lt;&gt;"",$D35&gt;$I35),"🔺 High","✅ OK")))</f>
        <v/>
      </c>
    </row>
    <row r="36" customFormat="false" ht="15" hidden="false" customHeight="false" outlineLevel="0" collapsed="false">
      <c r="B36" s="5"/>
      <c r="C36" s="17"/>
      <c r="D36" s="18"/>
      <c r="E36" s="13" t="str">
        <f aca="false">IF($C36="","",$D36/'⚙️ Settings'!$D$11)</f>
        <v/>
      </c>
      <c r="F36" s="14" t="str">
        <f aca="false">IF($C36="","",$D36/7)</f>
        <v/>
      </c>
      <c r="G36" s="19" t="b">
        <f aca="false">FALSE()</f>
        <v>0</v>
      </c>
      <c r="H36" s="16"/>
      <c r="I36" s="16"/>
      <c r="J36" s="10" t="str">
        <f aca="false">IF($C36="","",IF(AND($H36&lt;&gt;"",$D36&lt;$H36),"🔻 Low",IF(AND($I36&lt;&gt;"",$D36&gt;$I36),"🔺 High","✅ OK")))</f>
        <v/>
      </c>
    </row>
    <row r="37" customFormat="false" ht="15" hidden="false" customHeight="false" outlineLevel="0" collapsed="false">
      <c r="B37" s="5"/>
      <c r="C37" s="17"/>
      <c r="D37" s="18"/>
      <c r="E37" s="13" t="str">
        <f aca="false">IF($C37="","",$D37/'⚙️ Settings'!$D$11)</f>
        <v/>
      </c>
      <c r="F37" s="14" t="str">
        <f aca="false">IF($C37="","",$D37/7)</f>
        <v/>
      </c>
      <c r="G37" s="19" t="b">
        <f aca="false">FALSE()</f>
        <v>0</v>
      </c>
      <c r="H37" s="16"/>
      <c r="I37" s="16"/>
      <c r="J37" s="10" t="str">
        <f aca="false">IF($C37="","",IF(AND($H37&lt;&gt;"",$D37&lt;$H37),"🔻 Low",IF(AND($I37&lt;&gt;"",$D37&gt;$I37),"🔺 High","✅ OK")))</f>
        <v/>
      </c>
    </row>
    <row r="38" customFormat="false" ht="15" hidden="false" customHeight="false" outlineLevel="0" collapsed="false">
      <c r="B38" s="5"/>
      <c r="C38" s="17"/>
      <c r="D38" s="18"/>
      <c r="E38" s="13" t="str">
        <f aca="false">IF($C38="","",$D38/'⚙️ Settings'!$D$11)</f>
        <v/>
      </c>
      <c r="F38" s="14" t="str">
        <f aca="false">IF($C38="","",$D38/7)</f>
        <v/>
      </c>
      <c r="G38" s="19" t="b">
        <f aca="false">FALSE()</f>
        <v>0</v>
      </c>
      <c r="H38" s="16"/>
      <c r="I38" s="16"/>
      <c r="J38" s="10" t="str">
        <f aca="false">IF($C38="","",IF(AND($H38&lt;&gt;"",$D38&lt;$H38),"🔻 Low",IF(AND($I38&lt;&gt;"",$D38&gt;$I38),"🔺 High","✅ OK")))</f>
        <v/>
      </c>
    </row>
    <row r="40" customFormat="false" ht="15" hidden="false" customHeight="false" outlineLevel="0" collapsed="false">
      <c r="C40" s="20" t="s">
        <v>57</v>
      </c>
      <c r="D40" s="21" t="n">
        <f aca="false">SUM(D17:D38)</f>
        <v>156.75</v>
      </c>
    </row>
    <row r="41" customFormat="false" ht="15" hidden="false" customHeight="false" outlineLevel="0" collapsed="false">
      <c r="C41" s="20" t="s">
        <v>58</v>
      </c>
      <c r="D41" s="21" t="n">
        <f aca="false">'⚙️ Settings'!$D$11-D40</f>
        <v>11.25</v>
      </c>
    </row>
    <row r="42" customFormat="false" ht="15" hidden="false" customHeight="false" outlineLevel="0" collapsed="false">
      <c r="C42" s="20" t="s">
        <v>59</v>
      </c>
      <c r="D42" s="21" t="n">
        <f aca="false">SUMPRODUCT(--(G17:G38=TRUE()),D17:D38)</f>
        <v>70.1666666666667</v>
      </c>
    </row>
  </sheetData>
  <mergeCells count="13">
    <mergeCell ref="B5:J5"/>
    <mergeCell ref="B6:C6"/>
    <mergeCell ref="E6:J6"/>
    <mergeCell ref="B7:C7"/>
    <mergeCell ref="E7:J7"/>
    <mergeCell ref="B8:C8"/>
    <mergeCell ref="E8:J8"/>
    <mergeCell ref="B9:J9"/>
    <mergeCell ref="B10:C10"/>
    <mergeCell ref="B11:C11"/>
    <mergeCell ref="B12:C12"/>
    <mergeCell ref="B13:C13"/>
    <mergeCell ref="B15:J15"/>
  </mergeCells>
  <conditionalFormatting sqref="D17:D38">
    <cfRule type="expression" priority="2" aboveAverage="0" equalAverage="0" bottom="0" percent="0" rank="0" text="" dxfId="0">
      <formula>AND($I17&lt;&gt;"",$D17&gt;$I17)</formula>
    </cfRule>
    <cfRule type="expression" priority="3" aboveAverage="0" equalAverage="0" bottom="0" percent="0" rank="0" text="" dxfId="1">
      <formula>AND($H17&lt;&gt;"",$D17&lt;$H17)</formula>
    </cfRule>
  </conditionalFormatting>
  <conditionalFormatting sqref="D41">
    <cfRule type="expression" priority="4" aboveAverage="0" equalAverage="0" bottom="0" percent="0" rank="0" text="" dxfId="0">
      <formula>$D$41&lt;0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J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10" min="8" style="0" width="9"/>
  </cols>
  <sheetData>
    <row r="2" customFormat="false" ht="19.7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9" customFormat="false" ht="21.75" hidden="false" customHeight="true" outlineLevel="0" collapsed="false">
      <c r="B9" s="3" t="s">
        <v>71</v>
      </c>
      <c r="C9" s="3"/>
      <c r="D9" s="3"/>
      <c r="E9" s="3"/>
      <c r="F9" s="3"/>
      <c r="G9" s="3"/>
    </row>
    <row r="10" customFormat="false" ht="15" hidden="false" customHeight="false" outlineLevel="0" collapsed="false">
      <c r="B10" s="28" t="s">
        <v>72</v>
      </c>
      <c r="C10" s="5" t="n">
        <v>8</v>
      </c>
      <c r="D10" s="29" t="s">
        <v>73</v>
      </c>
      <c r="E10" s="30" t="s">
        <v>74</v>
      </c>
      <c r="F10" s="21" t="n">
        <f aca="false">C10*7</f>
        <v>56</v>
      </c>
      <c r="G10" s="29" t="s">
        <v>75</v>
      </c>
    </row>
    <row r="11" customFormat="false" ht="15" hidden="false" customHeight="false" outlineLevel="0" collapsed="false">
      <c r="B11" s="28" t="s">
        <v>76</v>
      </c>
      <c r="C11" s="5" t="n">
        <v>10</v>
      </c>
      <c r="D11" s="29" t="s">
        <v>77</v>
      </c>
      <c r="E11" s="30" t="s">
        <v>74</v>
      </c>
      <c r="F11" s="21" t="n">
        <f aca="false">C11*7/60</f>
        <v>1.16666666666667</v>
      </c>
      <c r="G11" s="29" t="s">
        <v>78</v>
      </c>
    </row>
    <row r="12" customFormat="false" ht="15" hidden="false" customHeight="false" outlineLevel="0" collapsed="false">
      <c r="B12" s="28" t="s">
        <v>79</v>
      </c>
      <c r="C12" s="5" t="n">
        <v>0</v>
      </c>
      <c r="D12" s="29" t="s">
        <v>80</v>
      </c>
      <c r="E12" s="30" t="s">
        <v>74</v>
      </c>
      <c r="F12" s="21" t="n">
        <f aca="false">C12*7/60</f>
        <v>0</v>
      </c>
      <c r="G12" s="29" t="s">
        <v>81</v>
      </c>
    </row>
    <row r="13" customFormat="false" ht="15" hidden="false" customHeight="false" outlineLevel="0" collapsed="false">
      <c r="E13" s="20" t="s">
        <v>82</v>
      </c>
      <c r="F13" s="21" t="n">
        <f aca="false">F10+F11+F12</f>
        <v>57.1666666666667</v>
      </c>
      <c r="G13" s="31" t="str">
        <f aca="false">"hours per week on sleep-related things.  ≈ "&amp;TEXT($F$13*'⚙️ Settings'!$D$12,"0")&amp;" h/month · "&amp;TEXT($F$13*'⚙️ Settings'!$D$13,"0")&amp;" h/year · "&amp;TEXT($F$13/'⚙️ Settings'!$D$11,"0.0%")&amp;" of your week"</f>
        <v>hours per week on sleep-related things.  ≈ 229 h/month · 2973 h/year · 34.0% of your week</v>
      </c>
    </row>
    <row r="14" customFormat="false" ht="15" hidden="false" customHeight="false" outlineLevel="0" collapsed="false">
      <c r="E14" s="20" t="s">
        <v>83</v>
      </c>
      <c r="F14" s="32" t="n">
        <f aca="false">'⚙️ Settings'!$D$11-F13</f>
        <v>110.833333333333</v>
      </c>
      <c r="G14" s="29" t="s">
        <v>84</v>
      </c>
    </row>
    <row r="16" customFormat="false" ht="21.75" hidden="false" customHeight="true" outlineLevel="0" collapsed="false">
      <c r="B16" s="3" t="s">
        <v>85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28" t="s">
        <v>86</v>
      </c>
      <c r="C17" s="33" t="n">
        <f aca="false">'⚙️ Settings'!$D$6</f>
        <v>6</v>
      </c>
      <c r="D17" s="29" t="s">
        <v>87</v>
      </c>
    </row>
    <row r="18" customFormat="false" ht="15" hidden="false" customHeight="false" outlineLevel="0" collapsed="false">
      <c r="B18" s="28" t="s">
        <v>88</v>
      </c>
      <c r="C18" s="5" t="n">
        <v>3</v>
      </c>
      <c r="D18" s="29" t="s">
        <v>89</v>
      </c>
      <c r="E18" s="30" t="s">
        <v>74</v>
      </c>
      <c r="F18" s="21" t="n">
        <f aca="false">C18*'⚙️ Settings'!$D$6</f>
        <v>18</v>
      </c>
      <c r="G18" s="29" t="s">
        <v>90</v>
      </c>
    </row>
    <row r="19" customFormat="false" ht="15" hidden="false" customHeight="false" outlineLevel="0" collapsed="false">
      <c r="B19" s="28" t="s">
        <v>91</v>
      </c>
      <c r="C19" s="5" t="n">
        <v>30</v>
      </c>
      <c r="D19" s="29" t="s">
        <v>92</v>
      </c>
      <c r="E19" s="30" t="s">
        <v>74</v>
      </c>
      <c r="F19" s="21" t="n">
        <f aca="false">C19*'⚙️ Settings'!$D$6/60</f>
        <v>3</v>
      </c>
      <c r="G19" s="29" t="s">
        <v>93</v>
      </c>
    </row>
    <row r="20" customFormat="false" ht="15" hidden="false" customHeight="false" outlineLevel="0" collapsed="false">
      <c r="B20" s="28" t="s">
        <v>94</v>
      </c>
      <c r="C20" s="5" t="n">
        <v>0</v>
      </c>
      <c r="D20" s="29" t="s">
        <v>95</v>
      </c>
      <c r="E20" s="30" t="s">
        <v>74</v>
      </c>
      <c r="F20" s="21" t="n">
        <f aca="false">C20*2*'⚙️ Settings'!$D$6/60</f>
        <v>0</v>
      </c>
      <c r="G20" s="29" t="s">
        <v>96</v>
      </c>
    </row>
    <row r="21" customFormat="false" ht="15" hidden="false" customHeight="false" outlineLevel="0" collapsed="false">
      <c r="B21" s="28" t="s">
        <v>97</v>
      </c>
      <c r="C21" s="5" t="n">
        <v>10</v>
      </c>
      <c r="D21" s="29" t="s">
        <v>92</v>
      </c>
      <c r="E21" s="30" t="s">
        <v>74</v>
      </c>
      <c r="F21" s="21" t="n">
        <f aca="false">C21*'⚙️ Settings'!$D$6/60</f>
        <v>1</v>
      </c>
      <c r="G21" s="29" t="s">
        <v>98</v>
      </c>
    </row>
    <row r="22" customFormat="false" ht="15" hidden="false" customHeight="false" outlineLevel="0" collapsed="false">
      <c r="B22" s="28" t="s">
        <v>99</v>
      </c>
      <c r="C22" s="5" t="n">
        <v>10</v>
      </c>
      <c r="D22" s="29" t="s">
        <v>92</v>
      </c>
      <c r="E22" s="30" t="s">
        <v>74</v>
      </c>
      <c r="F22" s="21" t="n">
        <f aca="false">C22*'⚙️ Settings'!$D$6/60</f>
        <v>1</v>
      </c>
      <c r="G22" s="29" t="s">
        <v>100</v>
      </c>
    </row>
    <row r="23" customFormat="false" ht="15" hidden="false" customHeight="false" outlineLevel="0" collapsed="false">
      <c r="E23" s="20" t="s">
        <v>101</v>
      </c>
      <c r="F23" s="21" t="n">
        <f aca="false">F18+F19+F20+F21+F22</f>
        <v>23</v>
      </c>
      <c r="G23" s="31" t="str">
        <f aca="false">"hours per week working.  ≈ "&amp;TEXT($F$23*'⚙️ Settings'!$D$12,"0")&amp;" h/month · "&amp;TEXT($F$23*'⚙️ Settings'!$D$13,"0")&amp;" h/year · "&amp;TEXT($F$23/'⚙️ Settings'!$D$11,"0.0%")&amp;" of your week"</f>
        <v>hours per week working.  ≈ 92 h/month · 1196 h/year · 13.7% of your week</v>
      </c>
    </row>
    <row r="24" customFormat="false" ht="15" hidden="false" customHeight="false" outlineLevel="0" collapsed="false">
      <c r="E24" s="20" t="s">
        <v>83</v>
      </c>
      <c r="F24" s="32" t="n">
        <f aca="false">F14-F23</f>
        <v>87.8333333333333</v>
      </c>
      <c r="G24" s="29" t="s">
        <v>84</v>
      </c>
    </row>
    <row r="26" customFormat="false" ht="21.75" hidden="false" customHeight="true" outlineLevel="0" collapsed="false">
      <c r="B26" s="3" t="s">
        <v>102</v>
      </c>
      <c r="C26" s="3"/>
      <c r="D26" s="3"/>
      <c r="E26" s="3"/>
      <c r="F26" s="3"/>
      <c r="G26" s="3"/>
    </row>
    <row r="27" customFormat="false" ht="15" hidden="false" customHeight="false" outlineLevel="0" collapsed="false">
      <c r="B27" s="28" t="s">
        <v>103</v>
      </c>
      <c r="C27" s="5" t="n">
        <v>2</v>
      </c>
      <c r="D27" s="29" t="s">
        <v>104</v>
      </c>
      <c r="E27" s="30" t="s">
        <v>74</v>
      </c>
      <c r="F27" s="21" t="n">
        <f aca="false">C27*'⚙️ Settings'!$D$6</f>
        <v>12</v>
      </c>
      <c r="G27" s="29" t="s">
        <v>105</v>
      </c>
    </row>
    <row r="28" customFormat="false" ht="15" hidden="false" customHeight="false" outlineLevel="0" collapsed="false">
      <c r="E28" s="20" t="s">
        <v>106</v>
      </c>
      <c r="F28" s="21" t="n">
        <f aca="false">F27</f>
        <v>12</v>
      </c>
      <c r="G28" s="31" t="str">
        <f aca="false">"hours per week of deep work.  ≈ "&amp;TEXT($F$28*'⚙️ Settings'!$D$12,"0")&amp;" h/month · "&amp;TEXT($F$28*'⚙️ Settings'!$D$13,"0")&amp;" h/year · "&amp;TEXT($F$28/'⚙️ Settings'!$D$11,"0.0%")&amp;" of your week"</f>
        <v>hours per week of deep work.  ≈ 48 h/month · 624 h/year · 7.1% of your week</v>
      </c>
    </row>
    <row r="29" customFormat="false" ht="15" hidden="false" customHeight="false" outlineLevel="0" collapsed="false">
      <c r="E29" s="20" t="s">
        <v>83</v>
      </c>
      <c r="F29" s="32" t="n">
        <f aca="false">F24-F28</f>
        <v>75.8333333333333</v>
      </c>
      <c r="G29" s="29" t="s">
        <v>84</v>
      </c>
    </row>
    <row r="31" customFormat="false" ht="21.75" hidden="false" customHeight="true" outlineLevel="0" collapsed="false">
      <c r="B31" s="3" t="s">
        <v>107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28" t="s">
        <v>108</v>
      </c>
      <c r="C32" s="5" t="n">
        <v>5</v>
      </c>
      <c r="D32" s="29" t="s">
        <v>109</v>
      </c>
      <c r="E32" s="30" t="s">
        <v>74</v>
      </c>
      <c r="F32" s="21" t="n">
        <f aca="false">C32</f>
        <v>5</v>
      </c>
      <c r="G32" s="29" t="s">
        <v>110</v>
      </c>
    </row>
    <row r="33" customFormat="false" ht="15" hidden="false" customHeight="false" outlineLevel="0" collapsed="false">
      <c r="E33" s="20" t="s">
        <v>111</v>
      </c>
      <c r="F33" s="21" t="n">
        <f aca="false">F32</f>
        <v>5</v>
      </c>
      <c r="G33" s="31" t="str">
        <f aca="false">"hours per week in meetings.  ≈ "&amp;TEXT($F$33*'⚙️ Settings'!$D$12,"0")&amp;" h/month · "&amp;TEXT($F$33*'⚙️ Settings'!$D$13,"0")&amp;" h/year · "&amp;TEXT($F$33/'⚙️ Settings'!$D$11,"0.0%")&amp;" of your week"</f>
        <v>hours per week in meetings.  ≈ 20 h/month · 260 h/year · 3.0% of your week</v>
      </c>
    </row>
    <row r="34" customFormat="false" ht="15" hidden="false" customHeight="false" outlineLevel="0" collapsed="false">
      <c r="E34" s="20" t="s">
        <v>83</v>
      </c>
      <c r="F34" s="32" t="n">
        <f aca="false">F29-F33</f>
        <v>70.8333333333333</v>
      </c>
      <c r="G34" s="29" t="s">
        <v>84</v>
      </c>
    </row>
    <row r="36" customFormat="false" ht="21.75" hidden="false" customHeight="true" outlineLevel="0" collapsed="false">
      <c r="B36" s="3" t="s">
        <v>112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8" t="s">
        <v>113</v>
      </c>
      <c r="C37" s="5" t="n">
        <v>15</v>
      </c>
      <c r="D37" s="29" t="s">
        <v>114</v>
      </c>
      <c r="E37" s="30" t="s">
        <v>74</v>
      </c>
      <c r="F37" s="21" t="n">
        <f aca="false">C37*7/60</f>
        <v>1.75</v>
      </c>
      <c r="G37" s="29" t="s">
        <v>115</v>
      </c>
    </row>
    <row r="38" customFormat="false" ht="15" hidden="false" customHeight="false" outlineLevel="0" collapsed="false">
      <c r="B38" s="28" t="s">
        <v>116</v>
      </c>
      <c r="C38" s="5" t="n">
        <v>40</v>
      </c>
      <c r="D38" s="29" t="s">
        <v>117</v>
      </c>
      <c r="E38" s="30" t="s">
        <v>74</v>
      </c>
      <c r="F38" s="21" t="n">
        <f aca="false">C38*(7-'⚙️ Settings'!$D$6)/60</f>
        <v>0.666666666666667</v>
      </c>
      <c r="G38" s="29" t="s">
        <v>118</v>
      </c>
    </row>
    <row r="39" customFormat="false" ht="15" hidden="false" customHeight="false" outlineLevel="0" collapsed="false">
      <c r="B39" s="28" t="s">
        <v>119</v>
      </c>
      <c r="C39" s="5" t="n">
        <v>30</v>
      </c>
      <c r="D39" s="29" t="s">
        <v>114</v>
      </c>
      <c r="E39" s="30" t="s">
        <v>74</v>
      </c>
      <c r="F39" s="21" t="n">
        <f aca="false">C39*7/60</f>
        <v>3.5</v>
      </c>
      <c r="G39" s="29" t="s">
        <v>120</v>
      </c>
    </row>
    <row r="40" customFormat="false" ht="15" hidden="false" customHeight="false" outlineLevel="0" collapsed="false">
      <c r="E40" s="20" t="s">
        <v>121</v>
      </c>
      <c r="F40" s="21" t="n">
        <f aca="false">F37+F38+F39</f>
        <v>5.91666666666667</v>
      </c>
      <c r="G40" s="31" t="str">
        <f aca="false">"hours per week on food.  ≈ "&amp;TEXT($F$40*'⚙️ Settings'!$D$12,"0")&amp;" h/month · "&amp;TEXT($F$40*'⚙️ Settings'!$D$13,"0")&amp;" h/year · "&amp;TEXT($F$40/'⚙️ Settings'!$D$11,"0.0%")&amp;" of your week"</f>
        <v>hours per week on food.  ≈ 24 h/month · 308 h/year · 3.5% of your week</v>
      </c>
    </row>
    <row r="41" customFormat="false" ht="15" hidden="false" customHeight="false" outlineLevel="0" collapsed="false">
      <c r="E41" s="20" t="s">
        <v>83</v>
      </c>
      <c r="F41" s="32" t="n">
        <f aca="false">F34-F40</f>
        <v>64.9166666666667</v>
      </c>
      <c r="G41" s="29" t="s">
        <v>84</v>
      </c>
    </row>
    <row r="43" customFormat="false" ht="21.75" hidden="false" customHeight="true" outlineLevel="0" collapsed="false">
      <c r="B43" s="3" t="s">
        <v>122</v>
      </c>
      <c r="C43" s="3"/>
      <c r="D43" s="3"/>
      <c r="E43" s="3"/>
      <c r="F43" s="3"/>
      <c r="G43" s="3"/>
    </row>
    <row r="44" customFormat="false" ht="15" hidden="false" customHeight="false" outlineLevel="0" collapsed="false">
      <c r="B44" s="28" t="s">
        <v>123</v>
      </c>
      <c r="C44" s="5" t="n">
        <v>2</v>
      </c>
      <c r="D44" s="29" t="s">
        <v>124</v>
      </c>
    </row>
    <row r="45" customFormat="false" ht="15" hidden="false" customHeight="false" outlineLevel="0" collapsed="false">
      <c r="B45" s="28" t="s">
        <v>125</v>
      </c>
      <c r="C45" s="5" t="n">
        <v>60</v>
      </c>
      <c r="D45" s="29" t="s">
        <v>126</v>
      </c>
      <c r="E45" s="30" t="s">
        <v>74</v>
      </c>
      <c r="F45" s="21" t="n">
        <f aca="false">C44*C45/60</f>
        <v>2</v>
      </c>
      <c r="G45" s="29" t="s">
        <v>127</v>
      </c>
    </row>
    <row r="46" customFormat="false" ht="15" hidden="false" customHeight="false" outlineLevel="0" collapsed="false">
      <c r="B46" s="28" t="s">
        <v>128</v>
      </c>
      <c r="C46" s="5" t="n">
        <v>1</v>
      </c>
      <c r="D46" s="29" t="s">
        <v>124</v>
      </c>
    </row>
    <row r="47" customFormat="false" ht="15" hidden="false" customHeight="false" outlineLevel="0" collapsed="false">
      <c r="B47" s="28" t="s">
        <v>129</v>
      </c>
      <c r="C47" s="5" t="n">
        <v>60</v>
      </c>
      <c r="D47" s="29" t="s">
        <v>130</v>
      </c>
      <c r="E47" s="30" t="s">
        <v>74</v>
      </c>
      <c r="F47" s="21" t="n">
        <f aca="false">C46*C47/60</f>
        <v>1</v>
      </c>
      <c r="G47" s="29" t="s">
        <v>131</v>
      </c>
    </row>
    <row r="48" customFormat="false" ht="15" hidden="false" customHeight="false" outlineLevel="0" collapsed="false">
      <c r="B48" s="28" t="s">
        <v>132</v>
      </c>
      <c r="C48" s="5" t="n">
        <v>1</v>
      </c>
      <c r="D48" s="29" t="s">
        <v>133</v>
      </c>
      <c r="E48" s="30" t="s">
        <v>74</v>
      </c>
      <c r="F48" s="21" t="n">
        <f aca="false">C48</f>
        <v>1</v>
      </c>
      <c r="G48" s="29" t="s">
        <v>134</v>
      </c>
    </row>
    <row r="49" customFormat="false" ht="15" hidden="false" customHeight="false" outlineLevel="0" collapsed="false">
      <c r="E49" s="20" t="s">
        <v>135</v>
      </c>
      <c r="F49" s="21" t="n">
        <f aca="false">F45+F47+F48</f>
        <v>4</v>
      </c>
      <c r="G49" s="31" t="str">
        <f aca="false">"hours per week on chores.  ≈ "&amp;TEXT($F$49*'⚙️ Settings'!$D$12,"0")&amp;" h/month · "&amp;TEXT($F$49*'⚙️ Settings'!$D$13,"0")&amp;" h/year · "&amp;TEXT($F$49/'⚙️ Settings'!$D$11,"0.0%")&amp;" of your week"</f>
        <v>hours per week on chores.  ≈ 16 h/month · 208 h/year · 2.4% of your week</v>
      </c>
    </row>
    <row r="50" customFormat="false" ht="15" hidden="false" customHeight="false" outlineLevel="0" collapsed="false">
      <c r="E50" s="20" t="s">
        <v>83</v>
      </c>
      <c r="F50" s="32" t="n">
        <f aca="false">F41-F49</f>
        <v>60.9166666666667</v>
      </c>
      <c r="G50" s="29" t="s">
        <v>84</v>
      </c>
    </row>
    <row r="52" customFormat="false" ht="21.75" hidden="false" customHeight="true" outlineLevel="0" collapsed="false">
      <c r="B52" s="3" t="s">
        <v>136</v>
      </c>
      <c r="C52" s="3"/>
      <c r="D52" s="3"/>
      <c r="E52" s="3"/>
      <c r="F52" s="3"/>
      <c r="G52" s="3"/>
    </row>
    <row r="53" customFormat="false" ht="15" hidden="false" customHeight="false" outlineLevel="0" collapsed="false">
      <c r="B53" s="28" t="s">
        <v>137</v>
      </c>
      <c r="C53" s="5" t="n">
        <v>0</v>
      </c>
      <c r="D53" s="29" t="s">
        <v>138</v>
      </c>
      <c r="E53" s="30" t="s">
        <v>74</v>
      </c>
      <c r="F53" s="21" t="n">
        <f aca="false">C53*5</f>
        <v>0</v>
      </c>
      <c r="G53" s="29" t="s">
        <v>139</v>
      </c>
    </row>
    <row r="54" customFormat="false" ht="15" hidden="false" customHeight="false" outlineLevel="0" collapsed="false">
      <c r="B54" s="28" t="s">
        <v>140</v>
      </c>
      <c r="C54" s="5" t="n">
        <v>0</v>
      </c>
      <c r="D54" s="29" t="s">
        <v>138</v>
      </c>
      <c r="E54" s="30" t="s">
        <v>74</v>
      </c>
      <c r="F54" s="21" t="n">
        <f aca="false">C54*2</f>
        <v>0</v>
      </c>
      <c r="G54" s="29" t="s">
        <v>141</v>
      </c>
    </row>
    <row r="55" customFormat="false" ht="15" hidden="false" customHeight="false" outlineLevel="0" collapsed="false">
      <c r="B55" s="28" t="s">
        <v>142</v>
      </c>
      <c r="C55" s="5" t="n">
        <v>0</v>
      </c>
      <c r="D55" s="29" t="s">
        <v>133</v>
      </c>
      <c r="E55" s="30" t="s">
        <v>74</v>
      </c>
      <c r="F55" s="21" t="n">
        <f aca="false">C55</f>
        <v>0</v>
      </c>
      <c r="G55" s="29" t="s">
        <v>143</v>
      </c>
    </row>
    <row r="56" customFormat="false" ht="15" hidden="false" customHeight="false" outlineLevel="0" collapsed="false">
      <c r="E56" s="20" t="s">
        <v>144</v>
      </c>
      <c r="F56" s="21" t="n">
        <f aca="false">F53+F54+F55</f>
        <v>0</v>
      </c>
      <c r="G56" s="31" t="str">
        <f aca="false">"hours per week on childcare.  ≈ "&amp;TEXT($F$56*'⚙️ Settings'!$D$12,"0")&amp;" h/month · "&amp;TEXT($F$56*'⚙️ Settings'!$D$13,"0")&amp;" h/year · "&amp;TEXT($F$56/'⚙️ Settings'!$D$11,"0.0%")&amp;" of your week"</f>
        <v>hours per week on childcare.  ≈ 0 h/month · 0 h/year · 0.0% of your week</v>
      </c>
    </row>
    <row r="57" customFormat="false" ht="15" hidden="false" customHeight="false" outlineLevel="0" collapsed="false">
      <c r="E57" s="20" t="s">
        <v>83</v>
      </c>
      <c r="F57" s="32" t="n">
        <f aca="false">F50-F56</f>
        <v>60.9166666666667</v>
      </c>
      <c r="G57" s="29" t="s">
        <v>84</v>
      </c>
    </row>
    <row r="59" customFormat="false" ht="21.75" hidden="false" customHeight="true" outlineLevel="0" collapsed="false">
      <c r="B59" s="3" t="s">
        <v>145</v>
      </c>
      <c r="C59" s="3"/>
      <c r="D59" s="3"/>
      <c r="E59" s="3"/>
      <c r="F59" s="3"/>
      <c r="G59" s="3"/>
    </row>
    <row r="60" customFormat="false" ht="15" hidden="false" customHeight="false" outlineLevel="0" collapsed="false">
      <c r="B60" s="28" t="s">
        <v>146</v>
      </c>
      <c r="C60" s="5" t="n">
        <v>8</v>
      </c>
      <c r="D60" s="29" t="s">
        <v>147</v>
      </c>
      <c r="E60" s="30" t="s">
        <v>74</v>
      </c>
      <c r="F60" s="21" t="n">
        <f aca="false">C60</f>
        <v>8</v>
      </c>
      <c r="G60" s="29" t="s">
        <v>148</v>
      </c>
    </row>
    <row r="61" customFormat="false" ht="15" hidden="false" customHeight="false" outlineLevel="0" collapsed="false">
      <c r="B61" s="28" t="s">
        <v>146</v>
      </c>
      <c r="C61" s="5" t="n">
        <v>2</v>
      </c>
      <c r="D61" s="29" t="s">
        <v>149</v>
      </c>
      <c r="E61" s="30" t="s">
        <v>74</v>
      </c>
      <c r="F61" s="21" t="n">
        <f aca="false">C61</f>
        <v>2</v>
      </c>
      <c r="G61" s="29" t="s">
        <v>150</v>
      </c>
    </row>
    <row r="62" customFormat="false" ht="15" hidden="false" customHeight="false" outlineLevel="0" collapsed="false">
      <c r="E62" s="20" t="s">
        <v>151</v>
      </c>
      <c r="F62" s="21" t="n">
        <f aca="false">F60+F61</f>
        <v>10</v>
      </c>
      <c r="G62" s="31" t="str">
        <f aca="false">"hours per week on fitness.  ≈ "&amp;TEXT($F$62*'⚙️ Settings'!$D$12,"0")&amp;" h/month · "&amp;TEXT($F$62*'⚙️ Settings'!$D$13,"0")&amp;" h/year · "&amp;TEXT($F$62/'⚙️ Settings'!$D$11,"0.0%")&amp;" of your week"</f>
        <v>hours per week on fitness.  ≈ 40 h/month · 520 h/year · 6.0% of your week</v>
      </c>
    </row>
    <row r="63" customFormat="false" ht="15" hidden="false" customHeight="false" outlineLevel="0" collapsed="false">
      <c r="E63" s="20" t="s">
        <v>83</v>
      </c>
      <c r="F63" s="32" t="n">
        <f aca="false">F57-F62</f>
        <v>50.9166666666667</v>
      </c>
      <c r="G63" s="29" t="s">
        <v>84</v>
      </c>
    </row>
    <row r="65" customFormat="false" ht="21.75" hidden="false" customHeight="true" outlineLevel="0" collapsed="false">
      <c r="B65" s="3" t="s">
        <v>152</v>
      </c>
      <c r="C65" s="3"/>
      <c r="D65" s="3"/>
      <c r="E65" s="3"/>
      <c r="F65" s="3"/>
      <c r="G65" s="3"/>
    </row>
    <row r="66" customFormat="false" ht="15" hidden="false" customHeight="false" outlineLevel="0" collapsed="false">
      <c r="B66" s="28" t="s">
        <v>146</v>
      </c>
      <c r="C66" s="5" t="n">
        <v>0</v>
      </c>
      <c r="D66" s="29" t="s">
        <v>153</v>
      </c>
      <c r="E66" s="30" t="s">
        <v>74</v>
      </c>
      <c r="F66" s="21" t="n">
        <f aca="false">C66</f>
        <v>0</v>
      </c>
      <c r="G66" s="29" t="s">
        <v>154</v>
      </c>
    </row>
    <row r="67" customFormat="false" ht="15" hidden="false" customHeight="false" outlineLevel="0" collapsed="false">
      <c r="B67" s="28" t="s">
        <v>146</v>
      </c>
      <c r="C67" s="5" t="n">
        <v>7</v>
      </c>
      <c r="D67" s="29" t="s">
        <v>155</v>
      </c>
      <c r="E67" s="30" t="s">
        <v>74</v>
      </c>
      <c r="F67" s="21" t="n">
        <f aca="false">C67</f>
        <v>7</v>
      </c>
      <c r="G67" s="29" t="s">
        <v>156</v>
      </c>
    </row>
    <row r="68" customFormat="false" ht="15" hidden="false" customHeight="false" outlineLevel="0" collapsed="false">
      <c r="B68" s="28" t="s">
        <v>146</v>
      </c>
      <c r="C68" s="5" t="n">
        <v>2</v>
      </c>
      <c r="D68" s="29" t="s">
        <v>157</v>
      </c>
      <c r="E68" s="30" t="s">
        <v>74</v>
      </c>
      <c r="F68" s="21" t="n">
        <f aca="false">C68</f>
        <v>2</v>
      </c>
      <c r="G68" s="29" t="s">
        <v>158</v>
      </c>
    </row>
    <row r="69" customFormat="false" ht="15" hidden="false" customHeight="false" outlineLevel="0" collapsed="false">
      <c r="B69" s="28" t="s">
        <v>146</v>
      </c>
      <c r="C69" s="5" t="n">
        <v>3</v>
      </c>
      <c r="D69" s="29" t="s">
        <v>159</v>
      </c>
      <c r="E69" s="30" t="s">
        <v>74</v>
      </c>
      <c r="F69" s="21" t="n">
        <f aca="false">C69</f>
        <v>3</v>
      </c>
      <c r="G69" s="29" t="s">
        <v>160</v>
      </c>
    </row>
    <row r="70" customFormat="false" ht="15" hidden="false" customHeight="false" outlineLevel="0" collapsed="false">
      <c r="E70" s="20" t="s">
        <v>161</v>
      </c>
      <c r="F70" s="21" t="n">
        <f aca="false">F66+F67+F68+F69</f>
        <v>12</v>
      </c>
      <c r="G70" s="31" t="str">
        <f aca="false">"hours per week on entertainment.  ≈ "&amp;TEXT($F$70*'⚙️ Settings'!$D$12,"0")&amp;" h/month · "&amp;TEXT($F$70*'⚙️ Settings'!$D$13,"0")&amp;" h/year · "&amp;TEXT($F$70/'⚙️ Settings'!$D$11,"0.0%")&amp;" of your week"</f>
        <v>hours per week on entertainment.  ≈ 48 h/month · 624 h/year · 7.1% of your week</v>
      </c>
    </row>
    <row r="71" customFormat="false" ht="15" hidden="false" customHeight="false" outlineLevel="0" collapsed="false">
      <c r="E71" s="20" t="s">
        <v>83</v>
      </c>
      <c r="F71" s="32" t="n">
        <f aca="false">F63-F70</f>
        <v>38.9166666666667</v>
      </c>
      <c r="G71" s="29" t="s">
        <v>84</v>
      </c>
    </row>
    <row r="73" customFormat="false" ht="21.75" hidden="false" customHeight="true" outlineLevel="0" collapsed="false">
      <c r="B73" s="3" t="s">
        <v>162</v>
      </c>
      <c r="C73" s="3"/>
      <c r="D73" s="3"/>
      <c r="E73" s="3"/>
      <c r="F73" s="3"/>
      <c r="G73" s="3"/>
    </row>
    <row r="74" customFormat="false" ht="15" hidden="false" customHeight="false" outlineLevel="0" collapsed="false">
      <c r="B74" s="28" t="s">
        <v>146</v>
      </c>
      <c r="C74" s="5" t="n">
        <v>3</v>
      </c>
      <c r="D74" s="29" t="s">
        <v>163</v>
      </c>
      <c r="E74" s="30" t="s">
        <v>74</v>
      </c>
      <c r="F74" s="21" t="n">
        <f aca="false">C74</f>
        <v>3</v>
      </c>
      <c r="G74" s="29" t="s">
        <v>164</v>
      </c>
    </row>
    <row r="75" customFormat="false" ht="15" hidden="false" customHeight="false" outlineLevel="0" collapsed="false">
      <c r="B75" s="28" t="s">
        <v>146</v>
      </c>
      <c r="C75" s="5" t="n">
        <v>3</v>
      </c>
      <c r="D75" s="29" t="s">
        <v>165</v>
      </c>
      <c r="E75" s="30" t="s">
        <v>74</v>
      </c>
      <c r="F75" s="21" t="n">
        <f aca="false">C75</f>
        <v>3</v>
      </c>
      <c r="G75" s="29" t="s">
        <v>166</v>
      </c>
    </row>
    <row r="76" customFormat="false" ht="15" hidden="false" customHeight="false" outlineLevel="0" collapsed="false">
      <c r="E76" s="20" t="s">
        <v>167</v>
      </c>
      <c r="F76" s="21" t="n">
        <f aca="false">F74+F75</f>
        <v>6</v>
      </c>
      <c r="G76" s="31" t="str">
        <f aca="false">"hours per week on relationships.  ≈ "&amp;TEXT($F$76*'⚙️ Settings'!$D$12,"0")&amp;" h/month · "&amp;TEXT($F$76*'⚙️ Settings'!$D$13,"0")&amp;" h/year · "&amp;TEXT($F$76/'⚙️ Settings'!$D$11,"0.0%")&amp;" of your week"</f>
        <v>hours per week on relationships.  ≈ 24 h/month · 312 h/year · 3.6% of your week</v>
      </c>
    </row>
    <row r="77" customFormat="false" ht="15" hidden="false" customHeight="false" outlineLevel="0" collapsed="false">
      <c r="E77" s="20" t="s">
        <v>83</v>
      </c>
      <c r="F77" s="32" t="n">
        <f aca="false">F71-F76</f>
        <v>32.9166666666667</v>
      </c>
      <c r="G77" s="29" t="s">
        <v>84</v>
      </c>
    </row>
    <row r="79" customFormat="false" ht="21.75" hidden="false" customHeight="true" outlineLevel="0" collapsed="false">
      <c r="B79" s="3" t="s">
        <v>168</v>
      </c>
      <c r="C79" s="3"/>
      <c r="D79" s="3"/>
      <c r="E79" s="3"/>
      <c r="F79" s="3"/>
      <c r="G79" s="3"/>
    </row>
    <row r="80" customFormat="false" ht="15" hidden="false" customHeight="false" outlineLevel="0" collapsed="false">
      <c r="B80" s="28" t="s">
        <v>169</v>
      </c>
      <c r="C80" s="5" t="n">
        <v>1</v>
      </c>
      <c r="D80" s="29" t="s">
        <v>133</v>
      </c>
      <c r="E80" s="30" t="s">
        <v>74</v>
      </c>
      <c r="F80" s="21" t="n">
        <f aca="false">C80</f>
        <v>1</v>
      </c>
      <c r="G80" s="29" t="s">
        <v>170</v>
      </c>
    </row>
    <row r="81" customFormat="false" ht="15" hidden="false" customHeight="false" outlineLevel="0" collapsed="false">
      <c r="B81" s="28" t="s">
        <v>171</v>
      </c>
      <c r="C81" s="5" t="n">
        <v>1</v>
      </c>
      <c r="D81" s="29" t="s">
        <v>133</v>
      </c>
      <c r="E81" s="30" t="s">
        <v>74</v>
      </c>
      <c r="F81" s="21" t="n">
        <f aca="false">C81</f>
        <v>1</v>
      </c>
      <c r="G81" s="29" t="s">
        <v>172</v>
      </c>
    </row>
    <row r="82" customFormat="false" ht="15" hidden="false" customHeight="false" outlineLevel="0" collapsed="false">
      <c r="B82" s="28" t="s">
        <v>173</v>
      </c>
      <c r="C82" s="5" t="n">
        <v>20</v>
      </c>
      <c r="D82" s="29" t="s">
        <v>174</v>
      </c>
      <c r="E82" s="30" t="s">
        <v>74</v>
      </c>
      <c r="F82" s="21" t="n">
        <f aca="false">C82*7/60</f>
        <v>2.33333333333333</v>
      </c>
      <c r="G82" s="29" t="s">
        <v>175</v>
      </c>
    </row>
    <row r="83" customFormat="false" ht="15" hidden="false" customHeight="false" outlineLevel="0" collapsed="false">
      <c r="E83" s="20" t="s">
        <v>176</v>
      </c>
      <c r="F83" s="21" t="n">
        <f aca="false">F80+F81+F82</f>
        <v>4.33333333333333</v>
      </c>
      <c r="G83" s="31" t="str">
        <f aca="false">"hours per week on learning.  ≈ "&amp;TEXT($F$83*'⚙️ Settings'!$D$12,"0")&amp;" h/month · "&amp;TEXT($F$83*'⚙️ Settings'!$D$13,"0")&amp;" h/year · "&amp;TEXT($F$83/'⚙️ Settings'!$D$11,"0.0%")&amp;" of your week"</f>
        <v>hours per week on learning.  ≈ 17 h/month · 225 h/year · 2.6% of your week</v>
      </c>
    </row>
    <row r="84" customFormat="false" ht="15" hidden="false" customHeight="false" outlineLevel="0" collapsed="false">
      <c r="E84" s="20" t="s">
        <v>83</v>
      </c>
      <c r="F84" s="32" t="n">
        <f aca="false">F77-F83</f>
        <v>28.5833333333333</v>
      </c>
      <c r="G84" s="29" t="s">
        <v>84</v>
      </c>
    </row>
    <row r="86" customFormat="false" ht="21.75" hidden="false" customHeight="true" outlineLevel="0" collapsed="false">
      <c r="B86" s="3" t="s">
        <v>177</v>
      </c>
      <c r="C86" s="3"/>
      <c r="D86" s="3"/>
      <c r="E86" s="3"/>
      <c r="F86" s="3"/>
      <c r="G86" s="3"/>
    </row>
    <row r="87" customFormat="false" ht="15" hidden="false" customHeight="false" outlineLevel="0" collapsed="false">
      <c r="B87" s="28" t="s">
        <v>178</v>
      </c>
      <c r="C87" s="5" t="n">
        <v>10</v>
      </c>
      <c r="D87" s="29" t="s">
        <v>174</v>
      </c>
      <c r="E87" s="30" t="s">
        <v>74</v>
      </c>
      <c r="F87" s="21" t="n">
        <f aca="false">C87*7/60</f>
        <v>1.16666666666667</v>
      </c>
      <c r="G87" s="29" t="s">
        <v>179</v>
      </c>
    </row>
    <row r="88" customFormat="false" ht="15" hidden="false" customHeight="false" outlineLevel="0" collapsed="false">
      <c r="B88" s="28" t="s">
        <v>180</v>
      </c>
      <c r="C88" s="5" t="n">
        <v>10</v>
      </c>
      <c r="D88" s="29" t="s">
        <v>174</v>
      </c>
      <c r="E88" s="30" t="s">
        <v>74</v>
      </c>
      <c r="F88" s="21" t="n">
        <f aca="false">C88*7/60</f>
        <v>1.16666666666667</v>
      </c>
      <c r="G88" s="29" t="s">
        <v>181</v>
      </c>
    </row>
    <row r="89" customFormat="false" ht="15" hidden="false" customHeight="false" outlineLevel="0" collapsed="false">
      <c r="B89" s="28" t="s">
        <v>182</v>
      </c>
      <c r="C89" s="5" t="n">
        <v>1</v>
      </c>
      <c r="D89" s="29" t="s">
        <v>133</v>
      </c>
      <c r="E89" s="30" t="s">
        <v>74</v>
      </c>
      <c r="F89" s="21" t="n">
        <f aca="false">C89</f>
        <v>1</v>
      </c>
      <c r="G89" s="29" t="s">
        <v>183</v>
      </c>
    </row>
    <row r="90" customFormat="false" ht="15" hidden="false" customHeight="false" outlineLevel="0" collapsed="false">
      <c r="E90" s="20" t="s">
        <v>184</v>
      </c>
      <c r="F90" s="21" t="n">
        <f aca="false">F87+F88+F89</f>
        <v>3.33333333333333</v>
      </c>
      <c r="G90" s="31" t="str">
        <f aca="false">"hours per week on personal development.  ≈ "&amp;TEXT($F$90*'⚙️ Settings'!$D$12,"0")&amp;" h/month · "&amp;TEXT($F$90*'⚙️ Settings'!$D$13,"0")&amp;" h/year · "&amp;TEXT($F$90/'⚙️ Settings'!$D$11,"0.0%")&amp;" of your week"</f>
        <v>hours per week on personal development.  ≈ 13 h/month · 173 h/year · 2.0% of your week</v>
      </c>
    </row>
    <row r="91" customFormat="false" ht="15" hidden="false" customHeight="false" outlineLevel="0" collapsed="false">
      <c r="E91" s="20" t="s">
        <v>83</v>
      </c>
      <c r="F91" s="32" t="n">
        <f aca="false">F84-F90</f>
        <v>25.25</v>
      </c>
      <c r="G91" s="29" t="s">
        <v>84</v>
      </c>
    </row>
    <row r="93" customFormat="false" ht="21.75" hidden="false" customHeight="true" outlineLevel="0" collapsed="false">
      <c r="B93" s="3" t="s">
        <v>185</v>
      </c>
      <c r="C93" s="3"/>
      <c r="D93" s="3"/>
      <c r="E93" s="3"/>
      <c r="F93" s="3"/>
      <c r="G93" s="3"/>
    </row>
    <row r="94" customFormat="false" ht="15" hidden="false" customHeight="false" outlineLevel="0" collapsed="false">
      <c r="B94" s="28" t="s">
        <v>186</v>
      </c>
      <c r="C94" s="5" t="n">
        <v>0</v>
      </c>
      <c r="D94" s="29" t="s">
        <v>174</v>
      </c>
      <c r="E94" s="30" t="s">
        <v>74</v>
      </c>
      <c r="F94" s="21" t="n">
        <f aca="false">C94*7/60</f>
        <v>0</v>
      </c>
      <c r="G94" s="29" t="s">
        <v>187</v>
      </c>
    </row>
    <row r="95" customFormat="false" ht="15" hidden="false" customHeight="false" outlineLevel="0" collapsed="false">
      <c r="B95" s="28" t="s">
        <v>188</v>
      </c>
      <c r="C95" s="5" t="n">
        <v>0</v>
      </c>
      <c r="D95" s="29" t="s">
        <v>133</v>
      </c>
      <c r="E95" s="30" t="s">
        <v>74</v>
      </c>
      <c r="F95" s="21" t="n">
        <f aca="false">C95</f>
        <v>0</v>
      </c>
      <c r="G95" s="29" t="s">
        <v>189</v>
      </c>
    </row>
    <row r="96" customFormat="false" ht="15" hidden="false" customHeight="false" outlineLevel="0" collapsed="false">
      <c r="E96" s="20" t="s">
        <v>190</v>
      </c>
      <c r="F96" s="21" t="n">
        <f aca="false">F94+F95</f>
        <v>0</v>
      </c>
      <c r="G96" s="31" t="str">
        <f aca="false">"hours per week on spiritual life.  ≈ "&amp;TEXT($F$96*'⚙️ Settings'!$D$12,"0")&amp;" h/month · "&amp;TEXT($F$96*'⚙️ Settings'!$D$13,"0")&amp;" h/year · "&amp;TEXT($F$96/'⚙️ Settings'!$D$11,"0.0%")&amp;" of your week"</f>
        <v>hours per week on spiritual life.  ≈ 0 h/month · 0 h/year · 0.0% of your week</v>
      </c>
    </row>
    <row r="97" customFormat="false" ht="15" hidden="false" customHeight="false" outlineLevel="0" collapsed="false">
      <c r="E97" s="20" t="s">
        <v>83</v>
      </c>
      <c r="F97" s="32" t="n">
        <f aca="false">F91-F96</f>
        <v>25.25</v>
      </c>
      <c r="G97" s="29" t="s">
        <v>84</v>
      </c>
    </row>
    <row r="99" customFormat="false" ht="21.75" hidden="false" customHeight="true" outlineLevel="0" collapsed="false">
      <c r="B99" s="3" t="s">
        <v>191</v>
      </c>
      <c r="C99" s="3"/>
      <c r="D99" s="3"/>
      <c r="E99" s="3"/>
      <c r="F99" s="3"/>
      <c r="G99" s="3"/>
    </row>
    <row r="100" customFormat="false" ht="15" hidden="false" customHeight="false" outlineLevel="0" collapsed="false">
      <c r="B100" s="28" t="s">
        <v>192</v>
      </c>
      <c r="C100" s="5" t="n">
        <v>1.5</v>
      </c>
      <c r="D100" s="29" t="s">
        <v>133</v>
      </c>
      <c r="E100" s="30" t="s">
        <v>74</v>
      </c>
      <c r="F100" s="21" t="n">
        <f aca="false">C100</f>
        <v>1.5</v>
      </c>
      <c r="G100" s="29" t="s">
        <v>193</v>
      </c>
    </row>
    <row r="101" customFormat="false" ht="15" hidden="false" customHeight="false" outlineLevel="0" collapsed="false">
      <c r="B101" s="28" t="s">
        <v>194</v>
      </c>
      <c r="C101" s="5" t="n">
        <v>0</v>
      </c>
      <c r="D101" s="29" t="s">
        <v>133</v>
      </c>
      <c r="E101" s="30" t="s">
        <v>74</v>
      </c>
      <c r="F101" s="21" t="n">
        <f aca="false">C101</f>
        <v>0</v>
      </c>
      <c r="G101" s="29" t="s">
        <v>195</v>
      </c>
    </row>
    <row r="102" customFormat="false" ht="15" hidden="false" customHeight="false" outlineLevel="0" collapsed="false">
      <c r="E102" s="20" t="s">
        <v>196</v>
      </c>
      <c r="F102" s="21" t="n">
        <f aca="false">F100+F101</f>
        <v>1.5</v>
      </c>
      <c r="G102" s="31" t="str">
        <f aca="false">"hours per week travelling.  ≈ "&amp;TEXT($F$102*'⚙️ Settings'!$D$12,"0")&amp;" h/month · "&amp;TEXT($F$102*'⚙️ Settings'!$D$13,"0")&amp;" h/year · "&amp;TEXT($F$102/'⚙️ Settings'!$D$11,"0.0%")&amp;" of your week"</f>
        <v>hours per week travelling.  ≈ 6 h/month · 78 h/year · 0.9% of your week</v>
      </c>
    </row>
    <row r="103" customFormat="false" ht="15" hidden="false" customHeight="false" outlineLevel="0" collapsed="false">
      <c r="E103" s="20" t="s">
        <v>83</v>
      </c>
      <c r="F103" s="32" t="n">
        <f aca="false">F97-F102</f>
        <v>23.75</v>
      </c>
      <c r="G103" s="29" t="s">
        <v>84</v>
      </c>
    </row>
    <row r="105" customFormat="false" ht="21.75" hidden="false" customHeight="true" outlineLevel="0" collapsed="false">
      <c r="B105" s="3" t="s">
        <v>197</v>
      </c>
      <c r="C105" s="3"/>
      <c r="D105" s="3"/>
      <c r="E105" s="3"/>
      <c r="F105" s="3"/>
      <c r="G105" s="3"/>
    </row>
    <row r="106" customFormat="false" ht="15" hidden="false" customHeight="false" outlineLevel="0" collapsed="false">
      <c r="B106" s="28" t="s">
        <v>198</v>
      </c>
      <c r="C106" s="5" t="n">
        <v>2</v>
      </c>
      <c r="D106" s="29" t="s">
        <v>133</v>
      </c>
      <c r="E106" s="30" t="s">
        <v>74</v>
      </c>
      <c r="F106" s="21" t="n">
        <f aca="false">C106</f>
        <v>2</v>
      </c>
      <c r="G106" s="29" t="s">
        <v>199</v>
      </c>
    </row>
    <row r="107" customFormat="false" ht="15" hidden="false" customHeight="false" outlineLevel="0" collapsed="false">
      <c r="B107" s="28" t="s">
        <v>200</v>
      </c>
      <c r="C107" s="5" t="n">
        <v>30</v>
      </c>
      <c r="D107" s="29" t="s">
        <v>201</v>
      </c>
      <c r="E107" s="30" t="s">
        <v>74</v>
      </c>
      <c r="F107" s="21" t="n">
        <f aca="false">C107/60</f>
        <v>0.5</v>
      </c>
      <c r="G107" s="29" t="s">
        <v>202</v>
      </c>
    </row>
    <row r="108" customFormat="false" ht="15" hidden="false" customHeight="false" outlineLevel="0" collapsed="false">
      <c r="E108" s="20" t="s">
        <v>203</v>
      </c>
      <c r="F108" s="21" t="n">
        <f aca="false">F106+F107</f>
        <v>2.5</v>
      </c>
      <c r="G108" s="31" t="str">
        <f aca="false">"hours per week on admin.  ≈ "&amp;TEXT($F$108*'⚙️ Settings'!$D$12,"0")&amp;" h/month · "&amp;TEXT($F$108*'⚙️ Settings'!$D$13,"0")&amp;" h/year · "&amp;TEXT($F$108/'⚙️ Settings'!$D$11,"0.0%")&amp;" of your week"</f>
        <v>hours per week on admin.  ≈ 10 h/month · 130 h/year · 1.5% of your week</v>
      </c>
    </row>
    <row r="109" customFormat="false" ht="15" hidden="false" customHeight="false" outlineLevel="0" collapsed="false">
      <c r="E109" s="20" t="s">
        <v>83</v>
      </c>
      <c r="F109" s="32" t="n">
        <f aca="false">F103-F108</f>
        <v>21.25</v>
      </c>
      <c r="G109" s="29" t="s">
        <v>84</v>
      </c>
    </row>
    <row r="111" customFormat="false" ht="21.75" hidden="false" customHeight="true" outlineLevel="0" collapsed="false">
      <c r="B111" s="3" t="s">
        <v>204</v>
      </c>
      <c r="C111" s="3"/>
      <c r="D111" s="3"/>
      <c r="E111" s="3"/>
      <c r="F111" s="3"/>
      <c r="G111" s="3"/>
    </row>
    <row r="112" customFormat="false" ht="15" hidden="false" customHeight="false" outlineLevel="0" collapsed="false">
      <c r="B112" s="28" t="s">
        <v>108</v>
      </c>
      <c r="C112" s="5" t="n">
        <v>4</v>
      </c>
      <c r="D112" s="29" t="s">
        <v>205</v>
      </c>
      <c r="E112" s="30" t="s">
        <v>74</v>
      </c>
      <c r="F112" s="21" t="n">
        <f aca="false">C112</f>
        <v>4</v>
      </c>
      <c r="G112" s="29" t="s">
        <v>206</v>
      </c>
    </row>
    <row r="113" customFormat="false" ht="15" hidden="false" customHeight="false" outlineLevel="0" collapsed="false">
      <c r="E113" s="20" t="s">
        <v>207</v>
      </c>
      <c r="F113" s="21" t="n">
        <f aca="false">F112</f>
        <v>4</v>
      </c>
      <c r="G113" s="31" t="str">
        <f aca="false">"hours per week on business development.  ≈ "&amp;TEXT($F$113*'⚙️ Settings'!$D$12,"0")&amp;" h/month · "&amp;TEXT($F$113*'⚙️ Settings'!$D$13,"0")&amp;" h/year · "&amp;TEXT($F$113/'⚙️ Settings'!$D$11,"0.0%")&amp;" of your week"</f>
        <v>hours per week on business development.  ≈ 16 h/month · 208 h/year · 2.4% of your week</v>
      </c>
    </row>
    <row r="114" customFormat="false" ht="15" hidden="false" customHeight="false" outlineLevel="0" collapsed="false">
      <c r="E114" s="20" t="s">
        <v>83</v>
      </c>
      <c r="F114" s="32" t="n">
        <f aca="false">F109-F113</f>
        <v>17.25</v>
      </c>
      <c r="G114" s="29" t="s">
        <v>84</v>
      </c>
    </row>
    <row r="116" customFormat="false" ht="21.75" hidden="false" customHeight="true" outlineLevel="0" collapsed="false">
      <c r="B116" s="3" t="s">
        <v>208</v>
      </c>
      <c r="C116" s="3"/>
      <c r="D116" s="3"/>
      <c r="E116" s="3"/>
      <c r="F116" s="3"/>
      <c r="G116" s="3"/>
    </row>
    <row r="117" customFormat="false" ht="15" hidden="false" customHeight="false" outlineLevel="0" collapsed="false">
      <c r="B117" s="28" t="s">
        <v>209</v>
      </c>
      <c r="C117" s="5" t="n">
        <v>6</v>
      </c>
      <c r="D117" s="29" t="s">
        <v>133</v>
      </c>
      <c r="E117" s="30" t="s">
        <v>74</v>
      </c>
      <c r="F117" s="21" t="n">
        <f aca="false">C117</f>
        <v>6</v>
      </c>
      <c r="G117" s="29" t="s">
        <v>210</v>
      </c>
    </row>
    <row r="118" customFormat="false" ht="15" hidden="false" customHeight="false" outlineLevel="0" collapsed="false">
      <c r="E118" s="20" t="s">
        <v>211</v>
      </c>
      <c r="F118" s="21" t="n">
        <f aca="false">F117</f>
        <v>6</v>
      </c>
      <c r="G118" s="31" t="str">
        <f aca="false">"hours per week creating content.  ≈ "&amp;TEXT($F$118*'⚙️ Settings'!$D$12,"0")&amp;" h/month · "&amp;TEXT($F$118*'⚙️ Settings'!$D$13,"0")&amp;" h/year · "&amp;TEXT($F$118/'⚙️ Settings'!$D$11,"0.0%")&amp;" of your week"</f>
        <v>hours per week creating content.  ≈ 24 h/month · 312 h/year · 3.6% of your week</v>
      </c>
    </row>
    <row r="119" customFormat="false" ht="15" hidden="false" customHeight="false" outlineLevel="0" collapsed="false">
      <c r="E119" s="20" t="s">
        <v>83</v>
      </c>
      <c r="F119" s="32" t="n">
        <f aca="false">F114-F118</f>
        <v>11.25</v>
      </c>
      <c r="G119" s="29" t="s">
        <v>84</v>
      </c>
    </row>
  </sheetData>
  <mergeCells count="18">
    <mergeCell ref="B6:J6"/>
    <mergeCell ref="B9:G9"/>
    <mergeCell ref="B16:G16"/>
    <mergeCell ref="B26:G26"/>
    <mergeCell ref="B31:G31"/>
    <mergeCell ref="B36:G36"/>
    <mergeCell ref="B43:G43"/>
    <mergeCell ref="B52:G52"/>
    <mergeCell ref="B59:G59"/>
    <mergeCell ref="B65:G65"/>
    <mergeCell ref="B73:G73"/>
    <mergeCell ref="B79:G79"/>
    <mergeCell ref="B86:G86"/>
    <mergeCell ref="B93:G93"/>
    <mergeCell ref="B99:G99"/>
    <mergeCell ref="B105:G105"/>
    <mergeCell ref="B111:G111"/>
    <mergeCell ref="B116:G116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dataValidations count="1">
    <dataValidation allowBlank="true" error="Enter a number (0 or more)." errorStyle="stop" operator="between" showDropDown="false" showErrorMessage="true" showInputMessage="false" sqref="C9:C121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9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2" min="11" style="0" width="2"/>
    <col collapsed="false" customWidth="true" hidden="false" outlineLevel="0" max="13" min="13" style="0" width="12"/>
  </cols>
  <sheetData>
    <row r="2" customFormat="false" ht="19.7" hidden="false" customHeight="false" outlineLevel="0" collapsed="false">
      <c r="B2" s="1" t="s">
        <v>212</v>
      </c>
    </row>
    <row r="3" customFormat="false" ht="15" hidden="false" customHeight="false" outlineLevel="0" collapsed="false">
      <c r="B3" s="2" t="s">
        <v>213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B9" s="34" t="str">
        <f aca="false">"Week of "&amp;TEXT('📆 Current Week'!$M$9,"ddd d mmm")&amp;" – "&amp;TEXT('📆 Current Week'!$M$9+6,"ddd d mmm yyyy")</f>
        <v>Week of Mon 27 Jul – Sun 2 Aug 2026</v>
      </c>
      <c r="C9" s="34"/>
      <c r="D9" s="34"/>
      <c r="E9" s="34"/>
      <c r="F9" s="34"/>
      <c r="L9" s="35" t="s">
        <v>214</v>
      </c>
      <c r="M9" s="36" t="n">
        <f aca="true">TODAY()-WEEKDAY(TODAY(),2)+1</f>
        <v>46230</v>
      </c>
    </row>
    <row r="11" customFormat="false" ht="15" hidden="false" customHeight="false" outlineLevel="0" collapsed="false">
      <c r="B11" s="8" t="s">
        <v>15</v>
      </c>
      <c r="C11" s="9" t="s">
        <v>215</v>
      </c>
      <c r="D11" s="9" t="s">
        <v>216</v>
      </c>
      <c r="E11" s="9" t="s">
        <v>217</v>
      </c>
      <c r="F11" s="9" t="s">
        <v>218</v>
      </c>
      <c r="G11" s="9" t="s">
        <v>219</v>
      </c>
      <c r="H11" s="9" t="s">
        <v>220</v>
      </c>
      <c r="I11" s="9" t="s">
        <v>221</v>
      </c>
    </row>
    <row r="12" customFormat="false" ht="15" hidden="false" customHeight="false" outlineLevel="0" collapsed="false">
      <c r="B12" s="11" t="str">
        <f aca="false">IF('⚙️ Settings'!C17="","",'⚙️ Settings'!B17&amp;"  "&amp;'⚙️ Settings'!C17)</f>
        <v>😴  Sleep</v>
      </c>
      <c r="C12" s="14" t="n">
        <f aca="false">IF($B12="","",'⚙️ Settings'!D17)</f>
        <v>57.1666666666667</v>
      </c>
      <c r="D12" s="18"/>
      <c r="E12" s="12" t="n">
        <f aca="false">IF($B12="","",IF($D12="",$C12,$D12))</f>
        <v>57.1666666666667</v>
      </c>
      <c r="F12" s="12" t="n">
        <f aca="false">IF($B12="","",SUMIFS('📅 Daily Tracker'!$F$10:$F$159,'📅 Daily Tracker'!$D$10:$D$159,'⚙️ Settings'!C17,'📅 Daily Tracker'!$B$10:$B$159,"&gt;="&amp;'📆 Current Week'!$M$9,'📅 Daily Tracker'!$B$10:$B$159,"&lt;"&amp;('📆 Current Week'!$M$9+7)))</f>
        <v>0</v>
      </c>
      <c r="G12" s="14" t="n">
        <f aca="false">IF($B12="","",$F12-$E12)</f>
        <v>-57.1666666666667</v>
      </c>
      <c r="H12" s="14" t="n">
        <f aca="false">IF($B12="","",MAX(0,$E12-$F12))</f>
        <v>57.1666666666667</v>
      </c>
      <c r="I12" s="37" t="n">
        <f aca="false">IF(OR($B12="",$E12=0),"",$F12/$E12)</f>
        <v>0</v>
      </c>
    </row>
    <row r="13" customFormat="false" ht="15" hidden="false" customHeight="false" outlineLevel="0" collapsed="false">
      <c r="B13" s="11" t="str">
        <f aca="false">IF('⚙️ Settings'!C18="","",'⚙️ Settings'!B18&amp;"  "&amp;'⚙️ Settings'!C18)</f>
        <v>💼  Work</v>
      </c>
      <c r="C13" s="14" t="n">
        <f aca="false">IF($B13="","",'⚙️ Settings'!D18)</f>
        <v>23</v>
      </c>
      <c r="D13" s="18"/>
      <c r="E13" s="12" t="n">
        <f aca="false">IF($B13="","",IF($D13="",$C13,$D13))</f>
        <v>23</v>
      </c>
      <c r="F13" s="12" t="n">
        <f aca="false">IF($B13="","",SUMIFS('📅 Daily Tracker'!$F$10:$F$159,'📅 Daily Tracker'!$D$10:$D$159,'⚙️ Settings'!C18,'📅 Daily Tracker'!$B$10:$B$159,"&gt;="&amp;'📆 Current Week'!$M$9,'📅 Daily Tracker'!$B$10:$B$159,"&lt;"&amp;('📆 Current Week'!$M$9+7)))</f>
        <v>0</v>
      </c>
      <c r="G13" s="14" t="n">
        <f aca="false">IF($B13="","",$F13-$E13)</f>
        <v>-23</v>
      </c>
      <c r="H13" s="14" t="n">
        <f aca="false">IF($B13="","",MAX(0,$E13-$F13))</f>
        <v>23</v>
      </c>
      <c r="I13" s="37" t="n">
        <f aca="false">IF(OR($B13="",$E13=0),"",$F13/$E13)</f>
        <v>0</v>
      </c>
    </row>
    <row r="14" customFormat="false" ht="15" hidden="false" customHeight="false" outlineLevel="0" collapsed="false">
      <c r="B14" s="11" t="str">
        <f aca="false">IF('⚙️ Settings'!C19="","",'⚙️ Settings'!B19&amp;"  "&amp;'⚙️ Settings'!C19)</f>
        <v>🎯  Deep Work</v>
      </c>
      <c r="C14" s="14" t="n">
        <f aca="false">IF($B14="","",'⚙️ Settings'!D19)</f>
        <v>12</v>
      </c>
      <c r="D14" s="18"/>
      <c r="E14" s="12" t="n">
        <f aca="false">IF($B14="","",IF($D14="",$C14,$D14))</f>
        <v>12</v>
      </c>
      <c r="F14" s="12" t="n">
        <f aca="false">IF($B14="","",SUMIFS('📅 Daily Tracker'!$F$10:$F$159,'📅 Daily Tracker'!$D$10:$D$159,'⚙️ Settings'!C19,'📅 Daily Tracker'!$B$10:$B$159,"&gt;="&amp;'📆 Current Week'!$M$9,'📅 Daily Tracker'!$B$10:$B$159,"&lt;"&amp;('📆 Current Week'!$M$9+7)))</f>
        <v>0</v>
      </c>
      <c r="G14" s="14" t="n">
        <f aca="false">IF($B14="","",$F14-$E14)</f>
        <v>-12</v>
      </c>
      <c r="H14" s="14" t="n">
        <f aca="false">IF($B14="","",MAX(0,$E14-$F14))</f>
        <v>12</v>
      </c>
      <c r="I14" s="37" t="n">
        <f aca="false">IF(OR($B14="",$E14=0),"",$F14/$E14)</f>
        <v>0</v>
      </c>
    </row>
    <row r="15" customFormat="false" ht="15" hidden="false" customHeight="false" outlineLevel="0" collapsed="false">
      <c r="B15" s="11" t="str">
        <f aca="false">IF('⚙️ Settings'!C20="","",'⚙️ Settings'!B20&amp;"  "&amp;'⚙️ Settings'!C20)</f>
        <v>🗣️  Meetings</v>
      </c>
      <c r="C15" s="14" t="n">
        <f aca="false">IF($B15="","",'⚙️ Settings'!D20)</f>
        <v>5</v>
      </c>
      <c r="D15" s="18"/>
      <c r="E15" s="12" t="n">
        <f aca="false">IF($B15="","",IF($D15="",$C15,$D15))</f>
        <v>5</v>
      </c>
      <c r="F15" s="12" t="n">
        <f aca="false">IF($B15="","",SUMIFS('📅 Daily Tracker'!$F$10:$F$159,'📅 Daily Tracker'!$D$10:$D$159,'⚙️ Settings'!C20,'📅 Daily Tracker'!$B$10:$B$159,"&gt;="&amp;'📆 Current Week'!$M$9,'📅 Daily Tracker'!$B$10:$B$159,"&lt;"&amp;('📆 Current Week'!$M$9+7)))</f>
        <v>0</v>
      </c>
      <c r="G15" s="14" t="n">
        <f aca="false">IF($B15="","",$F15-$E15)</f>
        <v>-5</v>
      </c>
      <c r="H15" s="14" t="n">
        <f aca="false">IF($B15="","",MAX(0,$E15-$F15))</f>
        <v>5</v>
      </c>
      <c r="I15" s="37" t="n">
        <f aca="false">IF(OR($B15="",$E15=0),"",$F15/$E15)</f>
        <v>0</v>
      </c>
    </row>
    <row r="16" customFormat="false" ht="15" hidden="false" customHeight="false" outlineLevel="0" collapsed="false">
      <c r="B16" s="11" t="str">
        <f aca="false">IF('⚙️ Settings'!C21="","",'⚙️ Settings'!B21&amp;"  "&amp;'⚙️ Settings'!C21)</f>
        <v>🍕  Food</v>
      </c>
      <c r="C16" s="14" t="n">
        <f aca="false">IF($B16="","",'⚙️ Settings'!D21)</f>
        <v>5.91666666666667</v>
      </c>
      <c r="D16" s="18"/>
      <c r="E16" s="12" t="n">
        <f aca="false">IF($B16="","",IF($D16="",$C16,$D16))</f>
        <v>5.91666666666667</v>
      </c>
      <c r="F16" s="12" t="n">
        <f aca="false">IF($B16="","",SUMIFS('📅 Daily Tracker'!$F$10:$F$159,'📅 Daily Tracker'!$D$10:$D$159,'⚙️ Settings'!C21,'📅 Daily Tracker'!$B$10:$B$159,"&gt;="&amp;'📆 Current Week'!$M$9,'📅 Daily Tracker'!$B$10:$B$159,"&lt;"&amp;('📆 Current Week'!$M$9+7)))</f>
        <v>0</v>
      </c>
      <c r="G16" s="14" t="n">
        <f aca="false">IF($B16="","",$F16-$E16)</f>
        <v>-5.91666666666667</v>
      </c>
      <c r="H16" s="14" t="n">
        <f aca="false">IF($B16="","",MAX(0,$E16-$F16))</f>
        <v>5.91666666666667</v>
      </c>
      <c r="I16" s="37" t="n">
        <f aca="false">IF(OR($B16="",$E16=0),"",$F16/$E16)</f>
        <v>0</v>
      </c>
    </row>
    <row r="17" customFormat="false" ht="15" hidden="false" customHeight="false" outlineLevel="0" collapsed="false">
      <c r="B17" s="11" t="str">
        <f aca="false">IF('⚙️ Settings'!C22="","",'⚙️ Settings'!B22&amp;"  "&amp;'⚙️ Settings'!C22)</f>
        <v>🧹  Household Chores</v>
      </c>
      <c r="C17" s="14" t="n">
        <f aca="false">IF($B17="","",'⚙️ Settings'!D22)</f>
        <v>4</v>
      </c>
      <c r="D17" s="18"/>
      <c r="E17" s="12" t="n">
        <f aca="false">IF($B17="","",IF($D17="",$C17,$D17))</f>
        <v>4</v>
      </c>
      <c r="F17" s="12" t="n">
        <f aca="false">IF($B17="","",SUMIFS('📅 Daily Tracker'!$F$10:$F$159,'📅 Daily Tracker'!$D$10:$D$159,'⚙️ Settings'!C22,'📅 Daily Tracker'!$B$10:$B$159,"&gt;="&amp;'📆 Current Week'!$M$9,'📅 Daily Tracker'!$B$10:$B$159,"&lt;"&amp;('📆 Current Week'!$M$9+7)))</f>
        <v>0</v>
      </c>
      <c r="G17" s="14" t="n">
        <f aca="false">IF($B17="","",$F17-$E17)</f>
        <v>-4</v>
      </c>
      <c r="H17" s="14" t="n">
        <f aca="false">IF($B17="","",MAX(0,$E17-$F17))</f>
        <v>4</v>
      </c>
      <c r="I17" s="37" t="n">
        <f aca="false">IF(OR($B17="",$E17=0),"",$F17/$E17)</f>
        <v>0</v>
      </c>
    </row>
    <row r="18" customFormat="false" ht="15" hidden="false" customHeight="false" outlineLevel="0" collapsed="false">
      <c r="B18" s="11" t="str">
        <f aca="false">IF('⚙️ Settings'!C23="","",'⚙️ Settings'!B23&amp;"  "&amp;'⚙️ Settings'!C23)</f>
        <v>👶  Childcare</v>
      </c>
      <c r="C18" s="14" t="n">
        <f aca="false">IF($B18="","",'⚙️ Settings'!D23)</f>
        <v>0</v>
      </c>
      <c r="D18" s="18"/>
      <c r="E18" s="12" t="n">
        <f aca="false">IF($B18="","",IF($D18="",$C18,$D18))</f>
        <v>0</v>
      </c>
      <c r="F18" s="12" t="n">
        <f aca="false">IF($B18="","",SUMIFS('📅 Daily Tracker'!$F$10:$F$159,'📅 Daily Tracker'!$D$10:$D$159,'⚙️ Settings'!C23,'📅 Daily Tracker'!$B$10:$B$159,"&gt;="&amp;'📆 Current Week'!$M$9,'📅 Daily Tracker'!$B$10:$B$159,"&lt;"&amp;('📆 Current Week'!$M$9+7)))</f>
        <v>0</v>
      </c>
      <c r="G18" s="14" t="n">
        <f aca="false">IF($B18="","",$F18-$E18)</f>
        <v>0</v>
      </c>
      <c r="H18" s="14" t="n">
        <f aca="false">IF($B18="","",MAX(0,$E18-$F18))</f>
        <v>0</v>
      </c>
      <c r="I18" s="37" t="str">
        <f aca="false">IF(OR($B18="",$E18=0),"",$F18/$E18)</f>
        <v/>
      </c>
    </row>
    <row r="19" customFormat="false" ht="15" hidden="false" customHeight="false" outlineLevel="0" collapsed="false">
      <c r="B19" s="11" t="str">
        <f aca="false">IF('⚙️ Settings'!C24="","",'⚙️ Settings'!B24&amp;"  "&amp;'⚙️ Settings'!C24)</f>
        <v>🏋️  Fitness</v>
      </c>
      <c r="C19" s="14" t="n">
        <f aca="false">IF($B19="","",'⚙️ Settings'!D24)</f>
        <v>10</v>
      </c>
      <c r="D19" s="18"/>
      <c r="E19" s="12" t="n">
        <f aca="false">IF($B19="","",IF($D19="",$C19,$D19))</f>
        <v>10</v>
      </c>
      <c r="F19" s="12" t="n">
        <f aca="false">IF($B19="","",SUMIFS('📅 Daily Tracker'!$F$10:$F$159,'📅 Daily Tracker'!$D$10:$D$159,'⚙️ Settings'!C24,'📅 Daily Tracker'!$B$10:$B$159,"&gt;="&amp;'📆 Current Week'!$M$9,'📅 Daily Tracker'!$B$10:$B$159,"&lt;"&amp;('📆 Current Week'!$M$9+7)))</f>
        <v>0</v>
      </c>
      <c r="G19" s="14" t="n">
        <f aca="false">IF($B19="","",$F19-$E19)</f>
        <v>-10</v>
      </c>
      <c r="H19" s="14" t="n">
        <f aca="false">IF($B19="","",MAX(0,$E19-$F19))</f>
        <v>10</v>
      </c>
      <c r="I19" s="37" t="n">
        <f aca="false">IF(OR($B19="",$E19=0),"",$F19/$E19)</f>
        <v>0</v>
      </c>
    </row>
    <row r="20" customFormat="false" ht="15" hidden="false" customHeight="false" outlineLevel="0" collapsed="false">
      <c r="B20" s="11" t="str">
        <f aca="false">IF('⚙️ Settings'!C25="","",'⚙️ Settings'!B25&amp;"  "&amp;'⚙️ Settings'!C25)</f>
        <v>📺  Entertainment</v>
      </c>
      <c r="C20" s="14" t="n">
        <f aca="false">IF($B20="","",'⚙️ Settings'!D25)</f>
        <v>12</v>
      </c>
      <c r="D20" s="18"/>
      <c r="E20" s="12" t="n">
        <f aca="false">IF($B20="","",IF($D20="",$C20,$D20))</f>
        <v>12</v>
      </c>
      <c r="F20" s="12" t="n">
        <f aca="false">IF($B20="","",SUMIFS('📅 Daily Tracker'!$F$10:$F$159,'📅 Daily Tracker'!$D$10:$D$159,'⚙️ Settings'!C25,'📅 Daily Tracker'!$B$10:$B$159,"&gt;="&amp;'📆 Current Week'!$M$9,'📅 Daily Tracker'!$B$10:$B$159,"&lt;"&amp;('📆 Current Week'!$M$9+7)))</f>
        <v>0</v>
      </c>
      <c r="G20" s="14" t="n">
        <f aca="false">IF($B20="","",$F20-$E20)</f>
        <v>-12</v>
      </c>
      <c r="H20" s="14" t="n">
        <f aca="false">IF($B20="","",MAX(0,$E20-$F20))</f>
        <v>12</v>
      </c>
      <c r="I20" s="37" t="n">
        <f aca="false">IF(OR($B20="",$E20=0),"",$F20/$E20)</f>
        <v>0</v>
      </c>
    </row>
    <row r="21" customFormat="false" ht="15" hidden="false" customHeight="false" outlineLevel="0" collapsed="false">
      <c r="B21" s="11" t="str">
        <f aca="false">IF('⚙️ Settings'!C26="","",'⚙️ Settings'!B26&amp;"  "&amp;'⚙️ Settings'!C26)</f>
        <v>❤️  Relationships</v>
      </c>
      <c r="C21" s="14" t="n">
        <f aca="false">IF($B21="","",'⚙️ Settings'!D26)</f>
        <v>6</v>
      </c>
      <c r="D21" s="18"/>
      <c r="E21" s="12" t="n">
        <f aca="false">IF($B21="","",IF($D21="",$C21,$D21))</f>
        <v>6</v>
      </c>
      <c r="F21" s="12" t="n">
        <f aca="false">IF($B21="","",SUMIFS('📅 Daily Tracker'!$F$10:$F$159,'📅 Daily Tracker'!$D$10:$D$159,'⚙️ Settings'!C26,'📅 Daily Tracker'!$B$10:$B$159,"&gt;="&amp;'📆 Current Week'!$M$9,'📅 Daily Tracker'!$B$10:$B$159,"&lt;"&amp;('📆 Current Week'!$M$9+7)))</f>
        <v>0</v>
      </c>
      <c r="G21" s="14" t="n">
        <f aca="false">IF($B21="","",$F21-$E21)</f>
        <v>-6</v>
      </c>
      <c r="H21" s="14" t="n">
        <f aca="false">IF($B21="","",MAX(0,$E21-$F21))</f>
        <v>6</v>
      </c>
      <c r="I21" s="37" t="n">
        <f aca="false">IF(OR($B21="",$E21=0),"",$F21/$E21)</f>
        <v>0</v>
      </c>
    </row>
    <row r="22" customFormat="false" ht="15" hidden="false" customHeight="false" outlineLevel="0" collapsed="false">
      <c r="B22" s="11" t="str">
        <f aca="false">IF('⚙️ Settings'!C27="","",'⚙️ Settings'!B27&amp;"  "&amp;'⚙️ Settings'!C27)</f>
        <v>📚  Learning</v>
      </c>
      <c r="C22" s="14" t="n">
        <f aca="false">IF($B22="","",'⚙️ Settings'!D27)</f>
        <v>4.33333333333333</v>
      </c>
      <c r="D22" s="18"/>
      <c r="E22" s="12" t="n">
        <f aca="false">IF($B22="","",IF($D22="",$C22,$D22))</f>
        <v>4.33333333333333</v>
      </c>
      <c r="F22" s="12" t="n">
        <f aca="false">IF($B22="","",SUMIFS('📅 Daily Tracker'!$F$10:$F$159,'📅 Daily Tracker'!$D$10:$D$159,'⚙️ Settings'!C27,'📅 Daily Tracker'!$B$10:$B$159,"&gt;="&amp;'📆 Current Week'!$M$9,'📅 Daily Tracker'!$B$10:$B$159,"&lt;"&amp;('📆 Current Week'!$M$9+7)))</f>
        <v>0</v>
      </c>
      <c r="G22" s="14" t="n">
        <f aca="false">IF($B22="","",$F22-$E22)</f>
        <v>-4.33333333333333</v>
      </c>
      <c r="H22" s="14" t="n">
        <f aca="false">IF($B22="","",MAX(0,$E22-$F22))</f>
        <v>4.33333333333333</v>
      </c>
      <c r="I22" s="37" t="n">
        <f aca="false">IF(OR($B22="",$E22=0),"",$F22/$E22)</f>
        <v>0</v>
      </c>
    </row>
    <row r="23" customFormat="false" ht="15" hidden="false" customHeight="false" outlineLevel="0" collapsed="false">
      <c r="B23" s="11" t="str">
        <f aca="false">IF('⚙️ Settings'!C28="","",'⚙️ Settings'!B28&amp;"  "&amp;'⚙️ Settings'!C28)</f>
        <v>🌱  Personal Development</v>
      </c>
      <c r="C23" s="14" t="n">
        <f aca="false">IF($B23="","",'⚙️ Settings'!D28)</f>
        <v>3.33333333333333</v>
      </c>
      <c r="D23" s="18"/>
      <c r="E23" s="12" t="n">
        <f aca="false">IF($B23="","",IF($D23="",$C23,$D23))</f>
        <v>3.33333333333333</v>
      </c>
      <c r="F23" s="12" t="n">
        <f aca="false">IF($B23="","",SUMIFS('📅 Daily Tracker'!$F$10:$F$159,'📅 Daily Tracker'!$D$10:$D$159,'⚙️ Settings'!C28,'📅 Daily Tracker'!$B$10:$B$159,"&gt;="&amp;'📆 Current Week'!$M$9,'📅 Daily Tracker'!$B$10:$B$159,"&lt;"&amp;('📆 Current Week'!$M$9+7)))</f>
        <v>0</v>
      </c>
      <c r="G23" s="14" t="n">
        <f aca="false">IF($B23="","",$F23-$E23)</f>
        <v>-3.33333333333333</v>
      </c>
      <c r="H23" s="14" t="n">
        <f aca="false">IF($B23="","",MAX(0,$E23-$F23))</f>
        <v>3.33333333333333</v>
      </c>
      <c r="I23" s="37" t="n">
        <f aca="false">IF(OR($B23="",$E23=0),"",$F23/$E23)</f>
        <v>0</v>
      </c>
    </row>
    <row r="24" customFormat="false" ht="15" hidden="false" customHeight="false" outlineLevel="0" collapsed="false">
      <c r="B24" s="11" t="str">
        <f aca="false">IF('⚙️ Settings'!C29="","",'⚙️ Settings'!B29&amp;"  "&amp;'⚙️ Settings'!C29)</f>
        <v>🙏  Spiritual</v>
      </c>
      <c r="C24" s="14" t="n">
        <f aca="false">IF($B24="","",'⚙️ Settings'!D29)</f>
        <v>0</v>
      </c>
      <c r="D24" s="18"/>
      <c r="E24" s="12" t="n">
        <f aca="false">IF($B24="","",IF($D24="",$C24,$D24))</f>
        <v>0</v>
      </c>
      <c r="F24" s="12" t="n">
        <f aca="false">IF($B24="","",SUMIFS('📅 Daily Tracker'!$F$10:$F$159,'📅 Daily Tracker'!$D$10:$D$159,'⚙️ Settings'!C29,'📅 Daily Tracker'!$B$10:$B$159,"&gt;="&amp;'📆 Current Week'!$M$9,'📅 Daily Tracker'!$B$10:$B$159,"&lt;"&amp;('📆 Current Week'!$M$9+7)))</f>
        <v>0</v>
      </c>
      <c r="G24" s="14" t="n">
        <f aca="false">IF($B24="","",$F24-$E24)</f>
        <v>0</v>
      </c>
      <c r="H24" s="14" t="n">
        <f aca="false">IF($B24="","",MAX(0,$E24-$F24))</f>
        <v>0</v>
      </c>
      <c r="I24" s="37" t="str">
        <f aca="false">IF(OR($B24="",$E24=0),"",$F24/$E24)</f>
        <v/>
      </c>
    </row>
    <row r="25" customFormat="false" ht="15" hidden="false" customHeight="false" outlineLevel="0" collapsed="false">
      <c r="B25" s="11" t="str">
        <f aca="false">IF('⚙️ Settings'!C30="","",'⚙️ Settings'!B30&amp;"  "&amp;'⚙️ Settings'!C30)</f>
        <v>🚗  Travel</v>
      </c>
      <c r="C25" s="14" t="n">
        <f aca="false">IF($B25="","",'⚙️ Settings'!D30)</f>
        <v>1.5</v>
      </c>
      <c r="D25" s="18"/>
      <c r="E25" s="12" t="n">
        <f aca="false">IF($B25="","",IF($D25="",$C25,$D25))</f>
        <v>1.5</v>
      </c>
      <c r="F25" s="12" t="n">
        <f aca="false">IF($B25="","",SUMIFS('📅 Daily Tracker'!$F$10:$F$159,'📅 Daily Tracker'!$D$10:$D$159,'⚙️ Settings'!C30,'📅 Daily Tracker'!$B$10:$B$159,"&gt;="&amp;'📆 Current Week'!$M$9,'📅 Daily Tracker'!$B$10:$B$159,"&lt;"&amp;('📆 Current Week'!$M$9+7)))</f>
        <v>0</v>
      </c>
      <c r="G25" s="14" t="n">
        <f aca="false">IF($B25="","",$F25-$E25)</f>
        <v>-1.5</v>
      </c>
      <c r="H25" s="14" t="n">
        <f aca="false">IF($B25="","",MAX(0,$E25-$F25))</f>
        <v>1.5</v>
      </c>
      <c r="I25" s="37" t="n">
        <f aca="false">IF(OR($B25="",$E25=0),"",$F25/$E25)</f>
        <v>0</v>
      </c>
    </row>
    <row r="26" customFormat="false" ht="15" hidden="false" customHeight="false" outlineLevel="0" collapsed="false">
      <c r="B26" s="11" t="str">
        <f aca="false">IF('⚙️ Settings'!C31="","",'⚙️ Settings'!B31&amp;"  "&amp;'⚙️ Settings'!C31)</f>
        <v>🗂️  Admin</v>
      </c>
      <c r="C26" s="14" t="n">
        <f aca="false">IF($B26="","",'⚙️ Settings'!D31)</f>
        <v>2.5</v>
      </c>
      <c r="D26" s="18"/>
      <c r="E26" s="12" t="n">
        <f aca="false">IF($B26="","",IF($D26="",$C26,$D26))</f>
        <v>2.5</v>
      </c>
      <c r="F26" s="12" t="n">
        <f aca="false">IF($B26="","",SUMIFS('📅 Daily Tracker'!$F$10:$F$159,'📅 Daily Tracker'!$D$10:$D$159,'⚙️ Settings'!C31,'📅 Daily Tracker'!$B$10:$B$159,"&gt;="&amp;'📆 Current Week'!$M$9,'📅 Daily Tracker'!$B$10:$B$159,"&lt;"&amp;('📆 Current Week'!$M$9+7)))</f>
        <v>0</v>
      </c>
      <c r="G26" s="14" t="n">
        <f aca="false">IF($B26="","",$F26-$E26)</f>
        <v>-2.5</v>
      </c>
      <c r="H26" s="14" t="n">
        <f aca="false">IF($B26="","",MAX(0,$E26-$F26))</f>
        <v>2.5</v>
      </c>
      <c r="I26" s="37" t="n">
        <f aca="false">IF(OR($B26="",$E26=0),"",$F26/$E26)</f>
        <v>0</v>
      </c>
    </row>
    <row r="27" customFormat="false" ht="15" hidden="false" customHeight="false" outlineLevel="0" collapsed="false">
      <c r="B27" s="11" t="str">
        <f aca="false">IF('⚙️ Settings'!C32="","",'⚙️ Settings'!B32&amp;"  "&amp;'⚙️ Settings'!C32)</f>
        <v>📈  Business Development</v>
      </c>
      <c r="C27" s="14" t="n">
        <f aca="false">IF($B27="","",'⚙️ Settings'!D32)</f>
        <v>4</v>
      </c>
      <c r="D27" s="18"/>
      <c r="E27" s="12" t="n">
        <f aca="false">IF($B27="","",IF($D27="",$C27,$D27))</f>
        <v>4</v>
      </c>
      <c r="F27" s="12" t="n">
        <f aca="false">IF($B27="","",SUMIFS('📅 Daily Tracker'!$F$10:$F$159,'📅 Daily Tracker'!$D$10:$D$159,'⚙️ Settings'!C32,'📅 Daily Tracker'!$B$10:$B$159,"&gt;="&amp;'📆 Current Week'!$M$9,'📅 Daily Tracker'!$B$10:$B$159,"&lt;"&amp;('📆 Current Week'!$M$9+7)))</f>
        <v>0</v>
      </c>
      <c r="G27" s="14" t="n">
        <f aca="false">IF($B27="","",$F27-$E27)</f>
        <v>-4</v>
      </c>
      <c r="H27" s="14" t="n">
        <f aca="false">IF($B27="","",MAX(0,$E27-$F27))</f>
        <v>4</v>
      </c>
      <c r="I27" s="37" t="n">
        <f aca="false">IF(OR($B27="",$E27=0),"",$F27/$E27)</f>
        <v>0</v>
      </c>
    </row>
    <row r="28" customFormat="false" ht="15" hidden="false" customHeight="false" outlineLevel="0" collapsed="false">
      <c r="B28" s="11" t="str">
        <f aca="false">IF('⚙️ Settings'!C33="","",'⚙️ Settings'!B33&amp;"  "&amp;'⚙️ Settings'!C33)</f>
        <v>🎬  Content Creation</v>
      </c>
      <c r="C28" s="14" t="n">
        <f aca="false">IF($B28="","",'⚙️ Settings'!D33)</f>
        <v>6</v>
      </c>
      <c r="D28" s="18"/>
      <c r="E28" s="12" t="n">
        <f aca="false">IF($B28="","",IF($D28="",$C28,$D28))</f>
        <v>6</v>
      </c>
      <c r="F28" s="12" t="n">
        <f aca="false">IF($B28="","",SUMIFS('📅 Daily Tracker'!$F$10:$F$159,'📅 Daily Tracker'!$D$10:$D$159,'⚙️ Settings'!C33,'📅 Daily Tracker'!$B$10:$B$159,"&gt;="&amp;'📆 Current Week'!$M$9,'📅 Daily Tracker'!$B$10:$B$159,"&lt;"&amp;('📆 Current Week'!$M$9+7)))</f>
        <v>0</v>
      </c>
      <c r="G28" s="14" t="n">
        <f aca="false">IF($B28="","",$F28-$E28)</f>
        <v>-6</v>
      </c>
      <c r="H28" s="14" t="n">
        <f aca="false">IF($B28="","",MAX(0,$E28-$F28))</f>
        <v>6</v>
      </c>
      <c r="I28" s="37" t="n">
        <f aca="false">IF(OR($B28="",$E28=0),"",$F28/$E28)</f>
        <v>0</v>
      </c>
    </row>
    <row r="29" customFormat="false" ht="15" hidden="false" customHeight="false" outlineLevel="0" collapsed="false">
      <c r="B29" s="11" t="str">
        <f aca="false">IF('⚙️ Settings'!C34="","",'⚙️ Settings'!B34&amp;"  "&amp;'⚙️ Settings'!C34)</f>
        <v/>
      </c>
      <c r="C29" s="14" t="str">
        <f aca="false">IF($B29="","",'⚙️ Settings'!D34)</f>
        <v/>
      </c>
      <c r="D29" s="18"/>
      <c r="E29" s="12" t="str">
        <f aca="false">IF($B29="","",IF($D29="",$C29,$D29))</f>
        <v/>
      </c>
      <c r="F29" s="12" t="str">
        <f aca="false">IF($B29="","",SUMIFS('📅 Daily Tracker'!$F$10:$F$159,'📅 Daily Tracker'!$D$10:$D$159,'⚙️ Settings'!C34,'📅 Daily Tracker'!$B$10:$B$159,"&gt;="&amp;'📆 Current Week'!$M$9,'📅 Daily Tracker'!$B$10:$B$159,"&lt;"&amp;('📆 Current Week'!$M$9+7)))</f>
        <v/>
      </c>
      <c r="G29" s="14" t="str">
        <f aca="false">IF($B29="","",$F29-$E29)</f>
        <v/>
      </c>
      <c r="H29" s="14" t="str">
        <f aca="false">IF($B29="","",MAX(0,$E29-$F29))</f>
        <v/>
      </c>
      <c r="I29" s="37" t="str">
        <f aca="false">IF(OR($B29="",$E29=0),"",$F29/$E29)</f>
        <v/>
      </c>
    </row>
    <row r="30" customFormat="false" ht="15" hidden="false" customHeight="false" outlineLevel="0" collapsed="false">
      <c r="B30" s="11" t="str">
        <f aca="false">IF('⚙️ Settings'!C35="","",'⚙️ Settings'!B35&amp;"  "&amp;'⚙️ Settings'!C35)</f>
        <v/>
      </c>
      <c r="C30" s="14" t="str">
        <f aca="false">IF($B30="","",'⚙️ Settings'!D35)</f>
        <v/>
      </c>
      <c r="D30" s="18"/>
      <c r="E30" s="12" t="str">
        <f aca="false">IF($B30="","",IF($D30="",$C30,$D30))</f>
        <v/>
      </c>
      <c r="F30" s="12" t="str">
        <f aca="false">IF($B30="","",SUMIFS('📅 Daily Tracker'!$F$10:$F$159,'📅 Daily Tracker'!$D$10:$D$159,'⚙️ Settings'!C35,'📅 Daily Tracker'!$B$10:$B$159,"&gt;="&amp;'📆 Current Week'!$M$9,'📅 Daily Tracker'!$B$10:$B$159,"&lt;"&amp;('📆 Current Week'!$M$9+7)))</f>
        <v/>
      </c>
      <c r="G30" s="14" t="str">
        <f aca="false">IF($B30="","",$F30-$E30)</f>
        <v/>
      </c>
      <c r="H30" s="14" t="str">
        <f aca="false">IF($B30="","",MAX(0,$E30-$F30))</f>
        <v/>
      </c>
      <c r="I30" s="37" t="str">
        <f aca="false">IF(OR($B30="",$E30=0),"",$F30/$E30)</f>
        <v/>
      </c>
    </row>
    <row r="31" customFormat="false" ht="15" hidden="false" customHeight="false" outlineLevel="0" collapsed="false">
      <c r="B31" s="11" t="str">
        <f aca="false">IF('⚙️ Settings'!C36="","",'⚙️ Settings'!B36&amp;"  "&amp;'⚙️ Settings'!C36)</f>
        <v/>
      </c>
      <c r="C31" s="14" t="str">
        <f aca="false">IF($B31="","",'⚙️ Settings'!D36)</f>
        <v/>
      </c>
      <c r="D31" s="18"/>
      <c r="E31" s="12" t="str">
        <f aca="false">IF($B31="","",IF($D31="",$C31,$D31))</f>
        <v/>
      </c>
      <c r="F31" s="12" t="str">
        <f aca="false">IF($B31="","",SUMIFS('📅 Daily Tracker'!$F$10:$F$159,'📅 Daily Tracker'!$D$10:$D$159,'⚙️ Settings'!C36,'📅 Daily Tracker'!$B$10:$B$159,"&gt;="&amp;'📆 Current Week'!$M$9,'📅 Daily Tracker'!$B$10:$B$159,"&lt;"&amp;('📆 Current Week'!$M$9+7)))</f>
        <v/>
      </c>
      <c r="G31" s="14" t="str">
        <f aca="false">IF($B31="","",$F31-$E31)</f>
        <v/>
      </c>
      <c r="H31" s="14" t="str">
        <f aca="false">IF($B31="","",MAX(0,$E31-$F31))</f>
        <v/>
      </c>
      <c r="I31" s="37" t="str">
        <f aca="false">IF(OR($B31="",$E31=0),"",$F31/$E31)</f>
        <v/>
      </c>
    </row>
    <row r="32" customFormat="false" ht="15" hidden="false" customHeight="false" outlineLevel="0" collapsed="false">
      <c r="B32" s="11" t="str">
        <f aca="false">IF('⚙️ Settings'!C37="","",'⚙️ Settings'!B37&amp;"  "&amp;'⚙️ Settings'!C37)</f>
        <v/>
      </c>
      <c r="C32" s="14" t="str">
        <f aca="false">IF($B32="","",'⚙️ Settings'!D37)</f>
        <v/>
      </c>
      <c r="D32" s="18"/>
      <c r="E32" s="12" t="str">
        <f aca="false">IF($B32="","",IF($D32="",$C32,$D32))</f>
        <v/>
      </c>
      <c r="F32" s="12" t="str">
        <f aca="false">IF($B32="","",SUMIFS('📅 Daily Tracker'!$F$10:$F$159,'📅 Daily Tracker'!$D$10:$D$159,'⚙️ Settings'!C37,'📅 Daily Tracker'!$B$10:$B$159,"&gt;="&amp;'📆 Current Week'!$M$9,'📅 Daily Tracker'!$B$10:$B$159,"&lt;"&amp;('📆 Current Week'!$M$9+7)))</f>
        <v/>
      </c>
      <c r="G32" s="14" t="str">
        <f aca="false">IF($B32="","",$F32-$E32)</f>
        <v/>
      </c>
      <c r="H32" s="14" t="str">
        <f aca="false">IF($B32="","",MAX(0,$E32-$F32))</f>
        <v/>
      </c>
      <c r="I32" s="37" t="str">
        <f aca="false">IF(OR($B32="",$E32=0),"",$F32/$E32)</f>
        <v/>
      </c>
    </row>
    <row r="33" customFormat="false" ht="15" hidden="false" customHeight="false" outlineLevel="0" collapsed="false">
      <c r="B33" s="11" t="str">
        <f aca="false">IF('⚙️ Settings'!C38="","",'⚙️ Settings'!B38&amp;"  "&amp;'⚙️ Settings'!C38)</f>
        <v/>
      </c>
      <c r="C33" s="14" t="str">
        <f aca="false">IF($B33="","",'⚙️ Settings'!D38)</f>
        <v/>
      </c>
      <c r="D33" s="18"/>
      <c r="E33" s="12" t="str">
        <f aca="false">IF($B33="","",IF($D33="",$C33,$D33))</f>
        <v/>
      </c>
      <c r="F33" s="12" t="str">
        <f aca="false">IF($B33="","",SUMIFS('📅 Daily Tracker'!$F$10:$F$159,'📅 Daily Tracker'!$D$10:$D$159,'⚙️ Settings'!C38,'📅 Daily Tracker'!$B$10:$B$159,"&gt;="&amp;'📆 Current Week'!$M$9,'📅 Daily Tracker'!$B$10:$B$159,"&lt;"&amp;('📆 Current Week'!$M$9+7)))</f>
        <v/>
      </c>
      <c r="G33" s="14" t="str">
        <f aca="false">IF($B33="","",$F33-$E33)</f>
        <v/>
      </c>
      <c r="H33" s="14" t="str">
        <f aca="false">IF($B33="","",MAX(0,$E33-$F33))</f>
        <v/>
      </c>
      <c r="I33" s="37" t="str">
        <f aca="false">IF(OR($B33="",$E33=0),"",$F33/$E33)</f>
        <v/>
      </c>
    </row>
    <row r="35" customFormat="false" ht="15" hidden="false" customHeight="false" outlineLevel="0" collapsed="false">
      <c r="B35" s="20" t="s">
        <v>222</v>
      </c>
      <c r="E35" s="21" t="n">
        <f aca="false">SUM(E12:E33)</f>
        <v>156.75</v>
      </c>
      <c r="F35" s="21" t="n">
        <f aca="false">SUM(F12:F33)</f>
        <v>0</v>
      </c>
    </row>
    <row r="36" customFormat="false" ht="15" hidden="false" customHeight="false" outlineLevel="0" collapsed="false">
      <c r="B36" s="20" t="s">
        <v>223</v>
      </c>
      <c r="E36" s="21" t="n">
        <f aca="false">'⚙️ Settings'!$D$11-E35</f>
        <v>11.25</v>
      </c>
      <c r="F36" s="21" t="n">
        <f aca="false">'⚙️ Settings'!$D$11-F35</f>
        <v>168</v>
      </c>
    </row>
    <row r="37" customFormat="false" ht="15" hidden="false" customHeight="false" outlineLevel="0" collapsed="false">
      <c r="B37" s="20" t="s">
        <v>224</v>
      </c>
      <c r="E37" s="38" t="n">
        <f aca="false">E35/'⚙️ Settings'!$D$11</f>
        <v>0.933035714285714</v>
      </c>
      <c r="F37" s="38" t="n">
        <f aca="false">F35/'⚙️ Settings'!$D$11</f>
        <v>0</v>
      </c>
    </row>
  </sheetData>
  <mergeCells count="2">
    <mergeCell ref="B6:J6"/>
    <mergeCell ref="B9:F9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conditionalFormatting sqref="F12:F33">
    <cfRule type="dataBar" priority="4">
      <dataBar showValue="1" minLength="10" maxLength="90">
        <cfvo type="num" val="0"/>
        <cfvo type="num" val="60"/>
        <color rgb="FFF6A21D"/>
      </dataBar>
      <extLst>
        <ext xmlns:x14="http://schemas.microsoft.com/office/spreadsheetml/2009/9/main" uri="{B025F937-C7B1-47D3-B67F-A62EFF666E3E}">
          <x14:id>{CCFF42DE-8A6D-40EA-99A2-8CE565D48235}</x14:id>
        </ext>
      </extLst>
    </cfRule>
  </conditionalFormatting>
  <conditionalFormatting sqref="I12:I33">
    <cfRule type="expression" priority="5" aboveAverage="0" equalAverage="0" bottom="0" percent="0" rank="0" text="" dxfId="4">
      <formula>AND($B12&lt;&gt;"",$I12&lt;&gt;"",$I12&gt;1.2)</formula>
    </cfRule>
    <cfRule type="expression" priority="6" aboveAverage="0" equalAverage="0" bottom="0" percent="0" rank="0" text="" dxfId="5">
      <formula>AND($B12&lt;&gt;"",$I12&lt;&gt;"",$I12&lt;0.5)</formula>
    </cfRule>
  </conditionalFormatting>
  <dataValidations count="1">
    <dataValidation allowBlank="true" error="Hours must be 0–168." errorStyle="stop" operator="between" showDropDown="false" showErrorMessage="true" showInputMessage="false" sqref="D12:D33" type="decimal">
      <formula1>0</formula1>
      <formula2>168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FF42DE-8A6D-40EA-99A2-8CE565D48235}">
            <x14:dataBar minLength="10" maxLength="90" axisPosition="none" gradient="true">
              <x14:cfvo type="num">
                <xm:f>0</xm:f>
              </x14:cfvo>
              <x14:cfvo type="num">
                <xm:f>60</xm:f>
              </x14:cfvo>
              <x14:negativeFillColor rgb="FFF6A21D"/>
              <x14:axisColor rgb="FF000000"/>
            </x14:dataBar>
          </x14:cfRule>
          <xm:sqref>F12:F33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M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6" min="5" style="0" width="9"/>
    <col collapsed="false" customWidth="true" hidden="false" outlineLevel="0" max="7" min="7" style="0" width="34"/>
    <col collapsed="false" customWidth="true" hidden="false" outlineLevel="0" max="8" min="8" style="0" width="8"/>
    <col collapsed="false" customWidth="true" hidden="false" outlineLevel="0" max="9" min="9" style="0" width="2"/>
    <col collapsed="false" customWidth="true" hidden="false" outlineLevel="0" max="10" min="10" style="0" width="15"/>
    <col collapsed="false" customWidth="true" hidden="false" outlineLevel="0" max="13" min="11" style="0" width="8"/>
  </cols>
  <sheetData>
    <row r="2" customFormat="false" ht="19.7" hidden="false" customHeight="false" outlineLevel="0" collapsed="false">
      <c r="B2" s="1" t="s">
        <v>225</v>
      </c>
    </row>
    <row r="3" customFormat="false" ht="15" hidden="false" customHeight="false" outlineLevel="0" collapsed="false">
      <c r="B3" s="2" t="s">
        <v>226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8" customFormat="false" ht="21.75" hidden="false" customHeight="true" outlineLevel="0" collapsed="false">
      <c r="B8" s="3" t="s">
        <v>227</v>
      </c>
      <c r="C8" s="3"/>
      <c r="D8" s="3"/>
      <c r="E8" s="3"/>
      <c r="F8" s="3"/>
      <c r="G8" s="3"/>
      <c r="H8" s="3"/>
      <c r="J8" s="3" t="s">
        <v>228</v>
      </c>
      <c r="K8" s="3"/>
      <c r="L8" s="3"/>
      <c r="M8" s="3"/>
    </row>
    <row r="9" customFormat="false" ht="15" hidden="false" customHeight="false" outlineLevel="0" collapsed="false">
      <c r="B9" s="8" t="s">
        <v>229</v>
      </c>
      <c r="C9" s="9" t="s">
        <v>230</v>
      </c>
      <c r="D9" s="9" t="s">
        <v>15</v>
      </c>
      <c r="E9" s="9" t="s">
        <v>231</v>
      </c>
      <c r="F9" s="9" t="s">
        <v>232</v>
      </c>
      <c r="G9" s="9" t="s">
        <v>233</v>
      </c>
      <c r="H9" s="9" t="s">
        <v>234</v>
      </c>
      <c r="J9" s="39" t="s">
        <v>235</v>
      </c>
      <c r="K9" s="12" t="n">
        <f aca="true">SUMIFS('📅 Daily Tracker'!$F$10:$F$159,'📅 Daily Tracker'!$B$10:$B$159,TODAY())</f>
        <v>0</v>
      </c>
    </row>
    <row r="10" customFormat="false" ht="15" hidden="false" customHeight="false" outlineLevel="0" collapsed="false">
      <c r="B10" s="40"/>
      <c r="C10" s="41" t="str">
        <f aca="false">IF($B10="","",TEXT($B10,"ddd"))</f>
        <v/>
      </c>
      <c r="D10" s="42"/>
      <c r="E10" s="43" t="str">
        <f aca="false">IF($D10="","",IFERROR(INDEX('📆 Current Week'!$E$12:$E$33,MATCH($D10,'⚙️ Settings'!$C$17:$C$38,0))/7,""))</f>
        <v/>
      </c>
      <c r="F10" s="44"/>
      <c r="G10" s="42"/>
      <c r="H10" s="45" t="str">
        <f aca="false">IF($D10="","",IFERROR(INDEX('⚙️ Settings'!$G$17:$G$38,MATCH($D10,'⚙️ Settings'!$C$17:$C$38,0)),FALSE()))</f>
        <v/>
      </c>
      <c r="J10" s="39" t="s">
        <v>236</v>
      </c>
      <c r="K10" s="12" t="n">
        <f aca="true">'⚙️ Settings'!$D$10-SUMIFS('📅 Daily Tracker'!$F$10:$F$159,'📅 Daily Tracker'!$B$10:$B$159,TODAY())</f>
        <v>24</v>
      </c>
    </row>
    <row r="11" customFormat="false" ht="15" hidden="false" customHeight="false" outlineLevel="0" collapsed="false">
      <c r="B11" s="40"/>
      <c r="C11" s="41" t="str">
        <f aca="false">IF($B11="","",TEXT($B11,"ddd"))</f>
        <v/>
      </c>
      <c r="D11" s="42"/>
      <c r="E11" s="43" t="str">
        <f aca="false">IF($D11="","",IFERROR(INDEX('📆 Current Week'!$E$12:$E$33,MATCH($D11,'⚙️ Settings'!$C$17:$C$38,0))/7,""))</f>
        <v/>
      </c>
      <c r="F11" s="44"/>
      <c r="G11" s="42"/>
      <c r="H11" s="45" t="str">
        <f aca="false">IF($D11="","",IFERROR(INDEX('⚙️ Settings'!$G$17:$G$38,MATCH($D11,'⚙️ Settings'!$C$17:$C$38,0)),FALSE()))</f>
        <v/>
      </c>
      <c r="J11" s="39" t="s">
        <v>237</v>
      </c>
      <c r="K11" s="46" t="n">
        <f aca="true">IFERROR(SUMIFS('📅 Daily Tracker'!$F$10:$F$159,'📅 Daily Tracker'!$B$10:$B$159,TODAY(),'📅 Daily Tracker'!$H$10:$H$159,TRUE())/SUMIFS('📅 Daily Tracker'!$F$10:$F$159,'📅 Daily Tracker'!$B$10:$B$159,TODAY()),0)</f>
        <v>0</v>
      </c>
    </row>
    <row r="12" customFormat="false" ht="15" hidden="false" customHeight="false" outlineLevel="0" collapsed="false">
      <c r="B12" s="40"/>
      <c r="C12" s="41" t="str">
        <f aca="false">IF($B12="","",TEXT($B12,"ddd"))</f>
        <v/>
      </c>
      <c r="D12" s="42"/>
      <c r="E12" s="43" t="str">
        <f aca="false">IF($D12="","",IFERROR(INDEX('📆 Current Week'!$E$12:$E$33,MATCH($D12,'⚙️ Settings'!$C$17:$C$38,0))/7,""))</f>
        <v/>
      </c>
      <c r="F12" s="44"/>
      <c r="G12" s="42"/>
      <c r="H12" s="45" t="str">
        <f aca="false">IF($D12="","",IFERROR(INDEX('⚙️ Settings'!$G$17:$G$38,MATCH($D12,'⚙️ Settings'!$C$17:$C$38,0)),FALSE()))</f>
        <v/>
      </c>
    </row>
    <row r="13" customFormat="false" ht="21.75" hidden="false" customHeight="true" outlineLevel="0" collapsed="false">
      <c r="B13" s="40"/>
      <c r="C13" s="41" t="str">
        <f aca="false">IF($B13="","",TEXT($B13,"ddd"))</f>
        <v/>
      </c>
      <c r="D13" s="42"/>
      <c r="E13" s="43" t="str">
        <f aca="false">IF($D13="","",IFERROR(INDEX('📆 Current Week'!$E$12:$E$33,MATCH($D13,'⚙️ Settings'!$C$17:$C$38,0))/7,""))</f>
        <v/>
      </c>
      <c r="F13" s="44"/>
      <c r="G13" s="42"/>
      <c r="H13" s="45" t="str">
        <f aca="false">IF($D13="","",IFERROR(INDEX('⚙️ Settings'!$G$17:$G$38,MATCH($D13,'⚙️ Settings'!$C$17:$C$38,0)),FALSE()))</f>
        <v/>
      </c>
      <c r="J13" s="3" t="s">
        <v>238</v>
      </c>
      <c r="K13" s="3"/>
      <c r="L13" s="3"/>
      <c r="M13" s="3"/>
    </row>
    <row r="14" customFormat="false" ht="15" hidden="false" customHeight="false" outlineLevel="0" collapsed="false">
      <c r="B14" s="40"/>
      <c r="C14" s="41" t="str">
        <f aca="false">IF($B14="","",TEXT($B14,"ddd"))</f>
        <v/>
      </c>
      <c r="D14" s="42"/>
      <c r="E14" s="43" t="str">
        <f aca="false">IF($D14="","",IFERROR(INDEX('📆 Current Week'!$E$12:$E$33,MATCH($D14,'⚙️ Settings'!$C$17:$C$38,0))/7,""))</f>
        <v/>
      </c>
      <c r="F14" s="44"/>
      <c r="G14" s="42"/>
      <c r="H14" s="45" t="str">
        <f aca="false">IF($D14="","",IFERROR(INDEX('⚙️ Settings'!$G$17:$G$38,MATCH($D14,'⚙️ Settings'!$C$17:$C$38,0)),FALSE()))</f>
        <v/>
      </c>
      <c r="J14" s="8" t="s">
        <v>230</v>
      </c>
      <c r="K14" s="9" t="s">
        <v>239</v>
      </c>
      <c r="L14" s="9" t="s">
        <v>240</v>
      </c>
      <c r="M14" s="9" t="s">
        <v>241</v>
      </c>
    </row>
    <row r="15" customFormat="false" ht="15" hidden="false" customHeight="false" outlineLevel="0" collapsed="false">
      <c r="B15" s="40"/>
      <c r="C15" s="41" t="str">
        <f aca="false">IF($B15="","",TEXT($B15,"ddd"))</f>
        <v/>
      </c>
      <c r="D15" s="42"/>
      <c r="E15" s="43" t="str">
        <f aca="false">IF($D15="","",IFERROR(INDEX('📆 Current Week'!$E$12:$E$33,MATCH($D15,'⚙️ Settings'!$C$17:$C$38,0))/7,""))</f>
        <v/>
      </c>
      <c r="F15" s="44"/>
      <c r="G15" s="42"/>
      <c r="H15" s="45" t="str">
        <f aca="false">IF($D15="","",IFERROR(INDEX('⚙️ Settings'!$G$17:$G$38,MATCH($D15,'⚙️ Settings'!$C$17:$C$38,0)),FALSE()))</f>
        <v/>
      </c>
      <c r="J15" s="39" t="str">
        <f aca="true">TEXT(TODAY()-0,"ddd d mmm")</f>
        <v>Sun 2 Aug</v>
      </c>
      <c r="K15" s="14" t="n">
        <f aca="true">SUMIFS('📅 Daily Tracker'!$F$10:$F$159,'📅 Daily Tracker'!$B$10:$B$159,TODAY()-0)</f>
        <v>0</v>
      </c>
      <c r="L15" s="47" t="n">
        <f aca="false">'⚙️ Settings'!$D$10-K15</f>
        <v>24</v>
      </c>
      <c r="M15" s="37" t="str">
        <f aca="true">IFERROR(SUMIFS('📅 Daily Tracker'!$F$10:$F$159,'📅 Daily Tracker'!$B$10:$B$159,TODAY()-0,'📅 Daily Tracker'!$H$10:$H$159,TRUE())/K15,"")</f>
        <v/>
      </c>
    </row>
    <row r="16" customFormat="false" ht="15" hidden="false" customHeight="false" outlineLevel="0" collapsed="false">
      <c r="B16" s="40"/>
      <c r="C16" s="41" t="str">
        <f aca="false">IF($B16="","",TEXT($B16,"ddd"))</f>
        <v/>
      </c>
      <c r="D16" s="42"/>
      <c r="E16" s="43" t="str">
        <f aca="false">IF($D16="","",IFERROR(INDEX('📆 Current Week'!$E$12:$E$33,MATCH($D16,'⚙️ Settings'!$C$17:$C$38,0))/7,""))</f>
        <v/>
      </c>
      <c r="F16" s="44"/>
      <c r="G16" s="42"/>
      <c r="H16" s="45" t="str">
        <f aca="false">IF($D16="","",IFERROR(INDEX('⚙️ Settings'!$G$17:$G$38,MATCH($D16,'⚙️ Settings'!$C$17:$C$38,0)),FALSE()))</f>
        <v/>
      </c>
      <c r="J16" s="39" t="str">
        <f aca="true">TEXT(TODAY()-1,"ddd d mmm")</f>
        <v>Sat 1 Aug</v>
      </c>
      <c r="K16" s="14" t="n">
        <f aca="true">SUMIFS('📅 Daily Tracker'!$F$10:$F$159,'📅 Daily Tracker'!$B$10:$B$159,TODAY()-1)</f>
        <v>0</v>
      </c>
      <c r="L16" s="47" t="n">
        <f aca="false">'⚙️ Settings'!$D$10-K16</f>
        <v>24</v>
      </c>
      <c r="M16" s="37" t="str">
        <f aca="true">IFERROR(SUMIFS('📅 Daily Tracker'!$F$10:$F$159,'📅 Daily Tracker'!$B$10:$B$159,TODAY()-1,'📅 Daily Tracker'!$H$10:$H$159,TRUE())/K16,"")</f>
        <v/>
      </c>
    </row>
    <row r="17" customFormat="false" ht="15" hidden="false" customHeight="false" outlineLevel="0" collapsed="false">
      <c r="B17" s="40"/>
      <c r="C17" s="41" t="str">
        <f aca="false">IF($B17="","",TEXT($B17,"ddd"))</f>
        <v/>
      </c>
      <c r="D17" s="42"/>
      <c r="E17" s="43" t="str">
        <f aca="false">IF($D17="","",IFERROR(INDEX('📆 Current Week'!$E$12:$E$33,MATCH($D17,'⚙️ Settings'!$C$17:$C$38,0))/7,""))</f>
        <v/>
      </c>
      <c r="F17" s="44"/>
      <c r="G17" s="42"/>
      <c r="H17" s="45" t="str">
        <f aca="false">IF($D17="","",IFERROR(INDEX('⚙️ Settings'!$G$17:$G$38,MATCH($D17,'⚙️ Settings'!$C$17:$C$38,0)),FALSE()))</f>
        <v/>
      </c>
      <c r="J17" s="39" t="str">
        <f aca="true">TEXT(TODAY()-2,"ddd d mmm")</f>
        <v>Fri 31 Jul</v>
      </c>
      <c r="K17" s="14" t="n">
        <f aca="true">SUMIFS('📅 Daily Tracker'!$F$10:$F$159,'📅 Daily Tracker'!$B$10:$B$159,TODAY()-2)</f>
        <v>0</v>
      </c>
      <c r="L17" s="47" t="n">
        <f aca="false">'⚙️ Settings'!$D$10-K17</f>
        <v>24</v>
      </c>
      <c r="M17" s="37" t="str">
        <f aca="true">IFERROR(SUMIFS('📅 Daily Tracker'!$F$10:$F$159,'📅 Daily Tracker'!$B$10:$B$159,TODAY()-2,'📅 Daily Tracker'!$H$10:$H$159,TRUE())/K17,"")</f>
        <v/>
      </c>
    </row>
    <row r="18" customFormat="false" ht="15" hidden="false" customHeight="false" outlineLevel="0" collapsed="false">
      <c r="B18" s="40"/>
      <c r="C18" s="41" t="str">
        <f aca="false">IF($B18="","",TEXT($B18,"ddd"))</f>
        <v/>
      </c>
      <c r="D18" s="42"/>
      <c r="E18" s="43" t="str">
        <f aca="false">IF($D18="","",IFERROR(INDEX('📆 Current Week'!$E$12:$E$33,MATCH($D18,'⚙️ Settings'!$C$17:$C$38,0))/7,""))</f>
        <v/>
      </c>
      <c r="F18" s="44"/>
      <c r="G18" s="42"/>
      <c r="H18" s="45" t="str">
        <f aca="false">IF($D18="","",IFERROR(INDEX('⚙️ Settings'!$G$17:$G$38,MATCH($D18,'⚙️ Settings'!$C$17:$C$38,0)),FALSE()))</f>
        <v/>
      </c>
      <c r="J18" s="39" t="str">
        <f aca="true">TEXT(TODAY()-3,"ddd d mmm")</f>
        <v>Thu 30 Jul</v>
      </c>
      <c r="K18" s="14" t="n">
        <f aca="true">SUMIFS('📅 Daily Tracker'!$F$10:$F$159,'📅 Daily Tracker'!$B$10:$B$159,TODAY()-3)</f>
        <v>0</v>
      </c>
      <c r="L18" s="47" t="n">
        <f aca="false">'⚙️ Settings'!$D$10-K18</f>
        <v>24</v>
      </c>
      <c r="M18" s="37" t="str">
        <f aca="true">IFERROR(SUMIFS('📅 Daily Tracker'!$F$10:$F$159,'📅 Daily Tracker'!$B$10:$B$159,TODAY()-3,'📅 Daily Tracker'!$H$10:$H$159,TRUE())/K18,"")</f>
        <v/>
      </c>
    </row>
    <row r="19" customFormat="false" ht="15" hidden="false" customHeight="false" outlineLevel="0" collapsed="false">
      <c r="B19" s="40"/>
      <c r="C19" s="41" t="str">
        <f aca="false">IF($B19="","",TEXT($B19,"ddd"))</f>
        <v/>
      </c>
      <c r="D19" s="42"/>
      <c r="E19" s="43" t="str">
        <f aca="false">IF($D19="","",IFERROR(INDEX('📆 Current Week'!$E$12:$E$33,MATCH($D19,'⚙️ Settings'!$C$17:$C$38,0))/7,""))</f>
        <v/>
      </c>
      <c r="F19" s="44"/>
      <c r="G19" s="42"/>
      <c r="H19" s="45" t="str">
        <f aca="false">IF($D19="","",IFERROR(INDEX('⚙️ Settings'!$G$17:$G$38,MATCH($D19,'⚙️ Settings'!$C$17:$C$38,0)),FALSE()))</f>
        <v/>
      </c>
      <c r="J19" s="39" t="str">
        <f aca="true">TEXT(TODAY()-4,"ddd d mmm")</f>
        <v>Wed 29 Jul</v>
      </c>
      <c r="K19" s="14" t="n">
        <f aca="true">SUMIFS('📅 Daily Tracker'!$F$10:$F$159,'📅 Daily Tracker'!$B$10:$B$159,TODAY()-4)</f>
        <v>0</v>
      </c>
      <c r="L19" s="47" t="n">
        <f aca="false">'⚙️ Settings'!$D$10-K19</f>
        <v>24</v>
      </c>
      <c r="M19" s="37" t="str">
        <f aca="true">IFERROR(SUMIFS('📅 Daily Tracker'!$F$10:$F$159,'📅 Daily Tracker'!$B$10:$B$159,TODAY()-4,'📅 Daily Tracker'!$H$10:$H$159,TRUE())/K19,"")</f>
        <v/>
      </c>
    </row>
    <row r="20" customFormat="false" ht="15" hidden="false" customHeight="false" outlineLevel="0" collapsed="false">
      <c r="B20" s="40"/>
      <c r="C20" s="41" t="str">
        <f aca="false">IF($B20="","",TEXT($B20,"ddd"))</f>
        <v/>
      </c>
      <c r="D20" s="42"/>
      <c r="E20" s="43" t="str">
        <f aca="false">IF($D20="","",IFERROR(INDEX('📆 Current Week'!$E$12:$E$33,MATCH($D20,'⚙️ Settings'!$C$17:$C$38,0))/7,""))</f>
        <v/>
      </c>
      <c r="F20" s="44"/>
      <c r="G20" s="42"/>
      <c r="H20" s="45" t="str">
        <f aca="false">IF($D20="","",IFERROR(INDEX('⚙️ Settings'!$G$17:$G$38,MATCH($D20,'⚙️ Settings'!$C$17:$C$38,0)),FALSE()))</f>
        <v/>
      </c>
      <c r="J20" s="39" t="str">
        <f aca="true">TEXT(TODAY()-5,"ddd d mmm")</f>
        <v>Tue 28 Jul</v>
      </c>
      <c r="K20" s="14" t="n">
        <f aca="true">SUMIFS('📅 Daily Tracker'!$F$10:$F$159,'📅 Daily Tracker'!$B$10:$B$159,TODAY()-5)</f>
        <v>0</v>
      </c>
      <c r="L20" s="47" t="n">
        <f aca="false">'⚙️ Settings'!$D$10-K20</f>
        <v>24</v>
      </c>
      <c r="M20" s="37" t="str">
        <f aca="true">IFERROR(SUMIFS('📅 Daily Tracker'!$F$10:$F$159,'📅 Daily Tracker'!$B$10:$B$159,TODAY()-5,'📅 Daily Tracker'!$H$10:$H$159,TRUE())/K20,"")</f>
        <v/>
      </c>
    </row>
    <row r="21" customFormat="false" ht="15" hidden="false" customHeight="false" outlineLevel="0" collapsed="false">
      <c r="B21" s="40"/>
      <c r="C21" s="41" t="str">
        <f aca="false">IF($B21="","",TEXT($B21,"ddd"))</f>
        <v/>
      </c>
      <c r="D21" s="42"/>
      <c r="E21" s="43" t="str">
        <f aca="false">IF($D21="","",IFERROR(INDEX('📆 Current Week'!$E$12:$E$33,MATCH($D21,'⚙️ Settings'!$C$17:$C$38,0))/7,""))</f>
        <v/>
      </c>
      <c r="F21" s="44"/>
      <c r="G21" s="42"/>
      <c r="H21" s="45" t="str">
        <f aca="false">IF($D21="","",IFERROR(INDEX('⚙️ Settings'!$G$17:$G$38,MATCH($D21,'⚙️ Settings'!$C$17:$C$38,0)),FALSE()))</f>
        <v/>
      </c>
      <c r="J21" s="39" t="str">
        <f aca="true">TEXT(TODAY()-6,"ddd d mmm")</f>
        <v>Mon 27 Jul</v>
      </c>
      <c r="K21" s="14" t="n">
        <f aca="true">SUMIFS('📅 Daily Tracker'!$F$10:$F$159,'📅 Daily Tracker'!$B$10:$B$159,TODAY()-6)</f>
        <v>0</v>
      </c>
      <c r="L21" s="47" t="n">
        <f aca="false">'⚙️ Settings'!$D$10-K21</f>
        <v>24</v>
      </c>
      <c r="M21" s="37" t="str">
        <f aca="true">IFERROR(SUMIFS('📅 Daily Tracker'!$F$10:$F$159,'📅 Daily Tracker'!$B$10:$B$159,TODAY()-6,'📅 Daily Tracker'!$H$10:$H$159,TRUE())/K21,"")</f>
        <v/>
      </c>
    </row>
    <row r="22" customFormat="false" ht="15" hidden="false" customHeight="false" outlineLevel="0" collapsed="false">
      <c r="B22" s="40"/>
      <c r="C22" s="41" t="str">
        <f aca="false">IF($B22="","",TEXT($B22,"ddd"))</f>
        <v/>
      </c>
      <c r="D22" s="42"/>
      <c r="E22" s="43" t="str">
        <f aca="false">IF($D22="","",IFERROR(INDEX('📆 Current Week'!$E$12:$E$33,MATCH($D22,'⚙️ Settings'!$C$17:$C$38,0))/7,""))</f>
        <v/>
      </c>
      <c r="F22" s="44"/>
      <c r="G22" s="42"/>
      <c r="H22" s="45" t="str">
        <f aca="false">IF($D22="","",IFERROR(INDEX('⚙️ Settings'!$G$17:$G$38,MATCH($D22,'⚙️ Settings'!$C$17:$C$38,0)),FALSE()))</f>
        <v/>
      </c>
    </row>
    <row r="23" customFormat="false" ht="15" hidden="false" customHeight="false" outlineLevel="0" collapsed="false">
      <c r="B23" s="40"/>
      <c r="C23" s="41" t="str">
        <f aca="false">IF($B23="","",TEXT($B23,"ddd"))</f>
        <v/>
      </c>
      <c r="D23" s="42"/>
      <c r="E23" s="43" t="str">
        <f aca="false">IF($D23="","",IFERROR(INDEX('📆 Current Week'!$E$12:$E$33,MATCH($D23,'⚙️ Settings'!$C$17:$C$38,0))/7,""))</f>
        <v/>
      </c>
      <c r="F23" s="44"/>
      <c r="G23" s="42"/>
      <c r="H23" s="45" t="str">
        <f aca="false">IF($D23="","",IFERROR(INDEX('⚙️ Settings'!$G$17:$G$38,MATCH($D23,'⚙️ Settings'!$C$17:$C$38,0)),FALSE()))</f>
        <v/>
      </c>
    </row>
    <row r="24" customFormat="false" ht="15" hidden="false" customHeight="false" outlineLevel="0" collapsed="false">
      <c r="B24" s="40"/>
      <c r="C24" s="41" t="str">
        <f aca="false">IF($B24="","",TEXT($B24,"ddd"))</f>
        <v/>
      </c>
      <c r="D24" s="42"/>
      <c r="E24" s="43" t="str">
        <f aca="false">IF($D24="","",IFERROR(INDEX('📆 Current Week'!$E$12:$E$33,MATCH($D24,'⚙️ Settings'!$C$17:$C$38,0))/7,""))</f>
        <v/>
      </c>
      <c r="F24" s="44"/>
      <c r="G24" s="42"/>
      <c r="H24" s="45" t="str">
        <f aca="false">IF($D24="","",IFERROR(INDEX('⚙️ Settings'!$G$17:$G$38,MATCH($D24,'⚙️ Settings'!$C$17:$C$38,0)),FALSE()))</f>
        <v/>
      </c>
    </row>
    <row r="25" customFormat="false" ht="15" hidden="false" customHeight="false" outlineLevel="0" collapsed="false">
      <c r="B25" s="40"/>
      <c r="C25" s="41" t="str">
        <f aca="false">IF($B25="","",TEXT($B25,"ddd"))</f>
        <v/>
      </c>
      <c r="D25" s="42"/>
      <c r="E25" s="43" t="str">
        <f aca="false">IF($D25="","",IFERROR(INDEX('📆 Current Week'!$E$12:$E$33,MATCH($D25,'⚙️ Settings'!$C$17:$C$38,0))/7,""))</f>
        <v/>
      </c>
      <c r="F25" s="44"/>
      <c r="G25" s="42"/>
      <c r="H25" s="45" t="str">
        <f aca="false">IF($D25="","",IFERROR(INDEX('⚙️ Settings'!$G$17:$G$38,MATCH($D25,'⚙️ Settings'!$C$17:$C$38,0)),FALSE()))</f>
        <v/>
      </c>
    </row>
    <row r="26" customFormat="false" ht="15" hidden="false" customHeight="false" outlineLevel="0" collapsed="false">
      <c r="B26" s="40"/>
      <c r="C26" s="41" t="str">
        <f aca="false">IF($B26="","",TEXT($B26,"ddd"))</f>
        <v/>
      </c>
      <c r="D26" s="42"/>
      <c r="E26" s="43" t="str">
        <f aca="false">IF($D26="","",IFERROR(INDEX('📆 Current Week'!$E$12:$E$33,MATCH($D26,'⚙️ Settings'!$C$17:$C$38,0))/7,""))</f>
        <v/>
      </c>
      <c r="F26" s="44"/>
      <c r="G26" s="42"/>
      <c r="H26" s="45" t="str">
        <f aca="false">IF($D26="","",IFERROR(INDEX('⚙️ Settings'!$G$17:$G$38,MATCH($D26,'⚙️ Settings'!$C$17:$C$38,0)),FALSE()))</f>
        <v/>
      </c>
    </row>
    <row r="27" customFormat="false" ht="15" hidden="false" customHeight="false" outlineLevel="0" collapsed="false">
      <c r="B27" s="40"/>
      <c r="C27" s="41" t="str">
        <f aca="false">IF($B27="","",TEXT($B27,"ddd"))</f>
        <v/>
      </c>
      <c r="D27" s="42"/>
      <c r="E27" s="43" t="str">
        <f aca="false">IF($D27="","",IFERROR(INDEX('📆 Current Week'!$E$12:$E$33,MATCH($D27,'⚙️ Settings'!$C$17:$C$38,0))/7,""))</f>
        <v/>
      </c>
      <c r="F27" s="44"/>
      <c r="G27" s="42"/>
      <c r="H27" s="45" t="str">
        <f aca="false">IF($D27="","",IFERROR(INDEX('⚙️ Settings'!$G$17:$G$38,MATCH($D27,'⚙️ Settings'!$C$17:$C$38,0)),FALSE()))</f>
        <v/>
      </c>
    </row>
    <row r="28" customFormat="false" ht="15" hidden="false" customHeight="false" outlineLevel="0" collapsed="false">
      <c r="B28" s="40"/>
      <c r="C28" s="41" t="str">
        <f aca="false">IF($B28="","",TEXT($B28,"ddd"))</f>
        <v/>
      </c>
      <c r="D28" s="42"/>
      <c r="E28" s="43" t="str">
        <f aca="false">IF($D28="","",IFERROR(INDEX('📆 Current Week'!$E$12:$E$33,MATCH($D28,'⚙️ Settings'!$C$17:$C$38,0))/7,""))</f>
        <v/>
      </c>
      <c r="F28" s="44"/>
      <c r="G28" s="42"/>
      <c r="H28" s="45" t="str">
        <f aca="false">IF($D28="","",IFERROR(INDEX('⚙️ Settings'!$G$17:$G$38,MATCH($D28,'⚙️ Settings'!$C$17:$C$38,0)),FALSE()))</f>
        <v/>
      </c>
    </row>
    <row r="29" customFormat="false" ht="15" hidden="false" customHeight="false" outlineLevel="0" collapsed="false">
      <c r="B29" s="40"/>
      <c r="C29" s="41" t="str">
        <f aca="false">IF($B29="","",TEXT($B29,"ddd"))</f>
        <v/>
      </c>
      <c r="D29" s="42"/>
      <c r="E29" s="43" t="str">
        <f aca="false">IF($D29="","",IFERROR(INDEX('📆 Current Week'!$E$12:$E$33,MATCH($D29,'⚙️ Settings'!$C$17:$C$38,0))/7,""))</f>
        <v/>
      </c>
      <c r="F29" s="44"/>
      <c r="G29" s="42"/>
      <c r="H29" s="45" t="str">
        <f aca="false">IF($D29="","",IFERROR(INDEX('⚙️ Settings'!$G$17:$G$38,MATCH($D29,'⚙️ Settings'!$C$17:$C$38,0)),FALSE()))</f>
        <v/>
      </c>
    </row>
    <row r="30" customFormat="false" ht="15" hidden="false" customHeight="false" outlineLevel="0" collapsed="false">
      <c r="B30" s="40"/>
      <c r="C30" s="41" t="str">
        <f aca="false">IF($B30="","",TEXT($B30,"ddd"))</f>
        <v/>
      </c>
      <c r="D30" s="42"/>
      <c r="E30" s="43" t="str">
        <f aca="false">IF($D30="","",IFERROR(INDEX('📆 Current Week'!$E$12:$E$33,MATCH($D30,'⚙️ Settings'!$C$17:$C$38,0))/7,""))</f>
        <v/>
      </c>
      <c r="F30" s="44"/>
      <c r="G30" s="42"/>
      <c r="H30" s="45" t="str">
        <f aca="false">IF($D30="","",IFERROR(INDEX('⚙️ Settings'!$G$17:$G$38,MATCH($D30,'⚙️ Settings'!$C$17:$C$38,0)),FALSE()))</f>
        <v/>
      </c>
    </row>
    <row r="31" customFormat="false" ht="15" hidden="false" customHeight="false" outlineLevel="0" collapsed="false">
      <c r="B31" s="40"/>
      <c r="C31" s="41" t="str">
        <f aca="false">IF($B31="","",TEXT($B31,"ddd"))</f>
        <v/>
      </c>
      <c r="D31" s="42"/>
      <c r="E31" s="43" t="str">
        <f aca="false">IF($D31="","",IFERROR(INDEX('📆 Current Week'!$E$12:$E$33,MATCH($D31,'⚙️ Settings'!$C$17:$C$38,0))/7,""))</f>
        <v/>
      </c>
      <c r="F31" s="44"/>
      <c r="G31" s="42"/>
      <c r="H31" s="45" t="str">
        <f aca="false">IF($D31="","",IFERROR(INDEX('⚙️ Settings'!$G$17:$G$38,MATCH($D31,'⚙️ Settings'!$C$17:$C$38,0)),FALSE()))</f>
        <v/>
      </c>
    </row>
    <row r="32" customFormat="false" ht="15" hidden="false" customHeight="false" outlineLevel="0" collapsed="false">
      <c r="B32" s="40"/>
      <c r="C32" s="41" t="str">
        <f aca="false">IF($B32="","",TEXT($B32,"ddd"))</f>
        <v/>
      </c>
      <c r="D32" s="42"/>
      <c r="E32" s="43" t="str">
        <f aca="false">IF($D32="","",IFERROR(INDEX('📆 Current Week'!$E$12:$E$33,MATCH($D32,'⚙️ Settings'!$C$17:$C$38,0))/7,""))</f>
        <v/>
      </c>
      <c r="F32" s="44"/>
      <c r="G32" s="42"/>
      <c r="H32" s="45" t="str">
        <f aca="false">IF($D32="","",IFERROR(INDEX('⚙️ Settings'!$G$17:$G$38,MATCH($D32,'⚙️ Settings'!$C$17:$C$38,0)),FALSE()))</f>
        <v/>
      </c>
    </row>
    <row r="33" customFormat="false" ht="15" hidden="false" customHeight="false" outlineLevel="0" collapsed="false">
      <c r="B33" s="40"/>
      <c r="C33" s="41" t="str">
        <f aca="false">IF($B33="","",TEXT($B33,"ddd"))</f>
        <v/>
      </c>
      <c r="D33" s="42"/>
      <c r="E33" s="43" t="str">
        <f aca="false">IF($D33="","",IFERROR(INDEX('📆 Current Week'!$E$12:$E$33,MATCH($D33,'⚙️ Settings'!$C$17:$C$38,0))/7,""))</f>
        <v/>
      </c>
      <c r="F33" s="44"/>
      <c r="G33" s="42"/>
      <c r="H33" s="45" t="str">
        <f aca="false">IF($D33="","",IFERROR(INDEX('⚙️ Settings'!$G$17:$G$38,MATCH($D33,'⚙️ Settings'!$C$17:$C$38,0)),FALSE()))</f>
        <v/>
      </c>
    </row>
    <row r="34" customFormat="false" ht="15" hidden="false" customHeight="false" outlineLevel="0" collapsed="false">
      <c r="B34" s="40"/>
      <c r="C34" s="41" t="str">
        <f aca="false">IF($B34="","",TEXT($B34,"ddd"))</f>
        <v/>
      </c>
      <c r="D34" s="42"/>
      <c r="E34" s="43" t="str">
        <f aca="false">IF($D34="","",IFERROR(INDEX('📆 Current Week'!$E$12:$E$33,MATCH($D34,'⚙️ Settings'!$C$17:$C$38,0))/7,""))</f>
        <v/>
      </c>
      <c r="F34" s="44"/>
      <c r="G34" s="42"/>
      <c r="H34" s="45" t="str">
        <f aca="false">IF($D34="","",IFERROR(INDEX('⚙️ Settings'!$G$17:$G$38,MATCH($D34,'⚙️ Settings'!$C$17:$C$38,0)),FALSE()))</f>
        <v/>
      </c>
    </row>
    <row r="35" customFormat="false" ht="15" hidden="false" customHeight="false" outlineLevel="0" collapsed="false">
      <c r="B35" s="40"/>
      <c r="C35" s="41" t="str">
        <f aca="false">IF($B35="","",TEXT($B35,"ddd"))</f>
        <v/>
      </c>
      <c r="D35" s="42"/>
      <c r="E35" s="43" t="str">
        <f aca="false">IF($D35="","",IFERROR(INDEX('📆 Current Week'!$E$12:$E$33,MATCH($D35,'⚙️ Settings'!$C$17:$C$38,0))/7,""))</f>
        <v/>
      </c>
      <c r="F35" s="44"/>
      <c r="G35" s="42"/>
      <c r="H35" s="45" t="str">
        <f aca="false">IF($D35="","",IFERROR(INDEX('⚙️ Settings'!$G$17:$G$38,MATCH($D35,'⚙️ Settings'!$C$17:$C$38,0)),FALSE()))</f>
        <v/>
      </c>
    </row>
    <row r="36" customFormat="false" ht="15" hidden="false" customHeight="false" outlineLevel="0" collapsed="false">
      <c r="B36" s="40"/>
      <c r="C36" s="41" t="str">
        <f aca="false">IF($B36="","",TEXT($B36,"ddd"))</f>
        <v/>
      </c>
      <c r="D36" s="42"/>
      <c r="E36" s="43" t="str">
        <f aca="false">IF($D36="","",IFERROR(INDEX('📆 Current Week'!$E$12:$E$33,MATCH($D36,'⚙️ Settings'!$C$17:$C$38,0))/7,""))</f>
        <v/>
      </c>
      <c r="F36" s="44"/>
      <c r="G36" s="42"/>
      <c r="H36" s="45" t="str">
        <f aca="false">IF($D36="","",IFERROR(INDEX('⚙️ Settings'!$G$17:$G$38,MATCH($D36,'⚙️ Settings'!$C$17:$C$38,0)),FALSE()))</f>
        <v/>
      </c>
    </row>
    <row r="37" customFormat="false" ht="15" hidden="false" customHeight="false" outlineLevel="0" collapsed="false">
      <c r="B37" s="40"/>
      <c r="C37" s="41" t="str">
        <f aca="false">IF($B37="","",TEXT($B37,"ddd"))</f>
        <v/>
      </c>
      <c r="D37" s="42"/>
      <c r="E37" s="43" t="str">
        <f aca="false">IF($D37="","",IFERROR(INDEX('📆 Current Week'!$E$12:$E$33,MATCH($D37,'⚙️ Settings'!$C$17:$C$38,0))/7,""))</f>
        <v/>
      </c>
      <c r="F37" s="44"/>
      <c r="G37" s="42"/>
      <c r="H37" s="45" t="str">
        <f aca="false">IF($D37="","",IFERROR(INDEX('⚙️ Settings'!$G$17:$G$38,MATCH($D37,'⚙️ Settings'!$C$17:$C$38,0)),FALSE()))</f>
        <v/>
      </c>
    </row>
    <row r="38" customFormat="false" ht="15" hidden="false" customHeight="false" outlineLevel="0" collapsed="false">
      <c r="B38" s="40"/>
      <c r="C38" s="41" t="str">
        <f aca="false">IF($B38="","",TEXT($B38,"ddd"))</f>
        <v/>
      </c>
      <c r="D38" s="42"/>
      <c r="E38" s="43" t="str">
        <f aca="false">IF($D38="","",IFERROR(INDEX('📆 Current Week'!$E$12:$E$33,MATCH($D38,'⚙️ Settings'!$C$17:$C$38,0))/7,""))</f>
        <v/>
      </c>
      <c r="F38" s="44"/>
      <c r="G38" s="42"/>
      <c r="H38" s="45" t="str">
        <f aca="false">IF($D38="","",IFERROR(INDEX('⚙️ Settings'!$G$17:$G$38,MATCH($D38,'⚙️ Settings'!$C$17:$C$38,0)),FALSE()))</f>
        <v/>
      </c>
    </row>
    <row r="39" customFormat="false" ht="15" hidden="false" customHeight="false" outlineLevel="0" collapsed="false">
      <c r="B39" s="40"/>
      <c r="C39" s="41" t="str">
        <f aca="false">IF($B39="","",TEXT($B39,"ddd"))</f>
        <v/>
      </c>
      <c r="D39" s="42"/>
      <c r="E39" s="43" t="str">
        <f aca="false">IF($D39="","",IFERROR(INDEX('📆 Current Week'!$E$12:$E$33,MATCH($D39,'⚙️ Settings'!$C$17:$C$38,0))/7,""))</f>
        <v/>
      </c>
      <c r="F39" s="44"/>
      <c r="G39" s="42"/>
      <c r="H39" s="45" t="str">
        <f aca="false">IF($D39="","",IFERROR(INDEX('⚙️ Settings'!$G$17:$G$38,MATCH($D39,'⚙️ Settings'!$C$17:$C$38,0)),FALSE()))</f>
        <v/>
      </c>
    </row>
    <row r="40" customFormat="false" ht="15" hidden="false" customHeight="false" outlineLevel="0" collapsed="false">
      <c r="B40" s="40"/>
      <c r="C40" s="41" t="str">
        <f aca="false">IF($B40="","",TEXT($B40,"ddd"))</f>
        <v/>
      </c>
      <c r="D40" s="42"/>
      <c r="E40" s="43" t="str">
        <f aca="false">IF($D40="","",IFERROR(INDEX('📆 Current Week'!$E$12:$E$33,MATCH($D40,'⚙️ Settings'!$C$17:$C$38,0))/7,""))</f>
        <v/>
      </c>
      <c r="F40" s="44"/>
      <c r="G40" s="42"/>
      <c r="H40" s="45" t="str">
        <f aca="false">IF($D40="","",IFERROR(INDEX('⚙️ Settings'!$G$17:$G$38,MATCH($D40,'⚙️ Settings'!$C$17:$C$38,0)),FALSE()))</f>
        <v/>
      </c>
    </row>
    <row r="41" customFormat="false" ht="15" hidden="false" customHeight="false" outlineLevel="0" collapsed="false">
      <c r="B41" s="40"/>
      <c r="C41" s="41" t="str">
        <f aca="false">IF($B41="","",TEXT($B41,"ddd"))</f>
        <v/>
      </c>
      <c r="D41" s="42"/>
      <c r="E41" s="43" t="str">
        <f aca="false">IF($D41="","",IFERROR(INDEX('📆 Current Week'!$E$12:$E$33,MATCH($D41,'⚙️ Settings'!$C$17:$C$38,0))/7,""))</f>
        <v/>
      </c>
      <c r="F41" s="44"/>
      <c r="G41" s="42"/>
      <c r="H41" s="45" t="str">
        <f aca="false">IF($D41="","",IFERROR(INDEX('⚙️ Settings'!$G$17:$G$38,MATCH($D41,'⚙️ Settings'!$C$17:$C$38,0)),FALSE()))</f>
        <v/>
      </c>
    </row>
    <row r="42" customFormat="false" ht="15" hidden="false" customHeight="false" outlineLevel="0" collapsed="false">
      <c r="B42" s="40"/>
      <c r="C42" s="41" t="str">
        <f aca="false">IF($B42="","",TEXT($B42,"ddd"))</f>
        <v/>
      </c>
      <c r="D42" s="42"/>
      <c r="E42" s="43" t="str">
        <f aca="false">IF($D42="","",IFERROR(INDEX('📆 Current Week'!$E$12:$E$33,MATCH($D42,'⚙️ Settings'!$C$17:$C$38,0))/7,""))</f>
        <v/>
      </c>
      <c r="F42" s="44"/>
      <c r="G42" s="42"/>
      <c r="H42" s="45" t="str">
        <f aca="false">IF($D42="","",IFERROR(INDEX('⚙️ Settings'!$G$17:$G$38,MATCH($D42,'⚙️ Settings'!$C$17:$C$38,0)),FALSE()))</f>
        <v/>
      </c>
    </row>
    <row r="43" customFormat="false" ht="15" hidden="false" customHeight="false" outlineLevel="0" collapsed="false">
      <c r="B43" s="40"/>
      <c r="C43" s="41" t="str">
        <f aca="false">IF($B43="","",TEXT($B43,"ddd"))</f>
        <v/>
      </c>
      <c r="D43" s="42"/>
      <c r="E43" s="43" t="str">
        <f aca="false">IF($D43="","",IFERROR(INDEX('📆 Current Week'!$E$12:$E$33,MATCH($D43,'⚙️ Settings'!$C$17:$C$38,0))/7,""))</f>
        <v/>
      </c>
      <c r="F43" s="44"/>
      <c r="G43" s="42"/>
      <c r="H43" s="45" t="str">
        <f aca="false">IF($D43="","",IFERROR(INDEX('⚙️ Settings'!$G$17:$G$38,MATCH($D43,'⚙️ Settings'!$C$17:$C$38,0)),FALSE()))</f>
        <v/>
      </c>
    </row>
    <row r="44" customFormat="false" ht="15" hidden="false" customHeight="false" outlineLevel="0" collapsed="false">
      <c r="B44" s="40"/>
      <c r="C44" s="41" t="str">
        <f aca="false">IF($B44="","",TEXT($B44,"ddd"))</f>
        <v/>
      </c>
      <c r="D44" s="42"/>
      <c r="E44" s="43" t="str">
        <f aca="false">IF($D44="","",IFERROR(INDEX('📆 Current Week'!$E$12:$E$33,MATCH($D44,'⚙️ Settings'!$C$17:$C$38,0))/7,""))</f>
        <v/>
      </c>
      <c r="F44" s="44"/>
      <c r="G44" s="42"/>
      <c r="H44" s="45" t="str">
        <f aca="false">IF($D44="","",IFERROR(INDEX('⚙️ Settings'!$G$17:$G$38,MATCH($D44,'⚙️ Settings'!$C$17:$C$38,0)),FALSE()))</f>
        <v/>
      </c>
    </row>
    <row r="45" customFormat="false" ht="15" hidden="false" customHeight="false" outlineLevel="0" collapsed="false">
      <c r="B45" s="40"/>
      <c r="C45" s="41" t="str">
        <f aca="false">IF($B45="","",TEXT($B45,"ddd"))</f>
        <v/>
      </c>
      <c r="D45" s="42"/>
      <c r="E45" s="43" t="str">
        <f aca="false">IF($D45="","",IFERROR(INDEX('📆 Current Week'!$E$12:$E$33,MATCH($D45,'⚙️ Settings'!$C$17:$C$38,0))/7,""))</f>
        <v/>
      </c>
      <c r="F45" s="44"/>
      <c r="G45" s="42"/>
      <c r="H45" s="45" t="str">
        <f aca="false">IF($D45="","",IFERROR(INDEX('⚙️ Settings'!$G$17:$G$38,MATCH($D45,'⚙️ Settings'!$C$17:$C$38,0)),FALSE()))</f>
        <v/>
      </c>
    </row>
    <row r="46" customFormat="false" ht="15" hidden="false" customHeight="false" outlineLevel="0" collapsed="false">
      <c r="B46" s="40"/>
      <c r="C46" s="41" t="str">
        <f aca="false">IF($B46="","",TEXT($B46,"ddd"))</f>
        <v/>
      </c>
      <c r="D46" s="42"/>
      <c r="E46" s="43" t="str">
        <f aca="false">IF($D46="","",IFERROR(INDEX('📆 Current Week'!$E$12:$E$33,MATCH($D46,'⚙️ Settings'!$C$17:$C$38,0))/7,""))</f>
        <v/>
      </c>
      <c r="F46" s="44"/>
      <c r="G46" s="42"/>
      <c r="H46" s="45" t="str">
        <f aca="false">IF($D46="","",IFERROR(INDEX('⚙️ Settings'!$G$17:$G$38,MATCH($D46,'⚙️ Settings'!$C$17:$C$38,0)),FALSE()))</f>
        <v/>
      </c>
    </row>
    <row r="47" customFormat="false" ht="15" hidden="false" customHeight="false" outlineLevel="0" collapsed="false">
      <c r="B47" s="40"/>
      <c r="C47" s="41" t="str">
        <f aca="false">IF($B47="","",TEXT($B47,"ddd"))</f>
        <v/>
      </c>
      <c r="D47" s="42"/>
      <c r="E47" s="43" t="str">
        <f aca="false">IF($D47="","",IFERROR(INDEX('📆 Current Week'!$E$12:$E$33,MATCH($D47,'⚙️ Settings'!$C$17:$C$38,0))/7,""))</f>
        <v/>
      </c>
      <c r="F47" s="44"/>
      <c r="G47" s="42"/>
      <c r="H47" s="45" t="str">
        <f aca="false">IF($D47="","",IFERROR(INDEX('⚙️ Settings'!$G$17:$G$38,MATCH($D47,'⚙️ Settings'!$C$17:$C$38,0)),FALSE()))</f>
        <v/>
      </c>
    </row>
    <row r="48" customFormat="false" ht="15" hidden="false" customHeight="false" outlineLevel="0" collapsed="false">
      <c r="B48" s="40"/>
      <c r="C48" s="41" t="str">
        <f aca="false">IF($B48="","",TEXT($B48,"ddd"))</f>
        <v/>
      </c>
      <c r="D48" s="42"/>
      <c r="E48" s="43" t="str">
        <f aca="false">IF($D48="","",IFERROR(INDEX('📆 Current Week'!$E$12:$E$33,MATCH($D48,'⚙️ Settings'!$C$17:$C$38,0))/7,""))</f>
        <v/>
      </c>
      <c r="F48" s="44"/>
      <c r="G48" s="42"/>
      <c r="H48" s="45" t="str">
        <f aca="false">IF($D48="","",IFERROR(INDEX('⚙️ Settings'!$G$17:$G$38,MATCH($D48,'⚙️ Settings'!$C$17:$C$38,0)),FALSE()))</f>
        <v/>
      </c>
    </row>
    <row r="49" customFormat="false" ht="15" hidden="false" customHeight="false" outlineLevel="0" collapsed="false">
      <c r="B49" s="40"/>
      <c r="C49" s="41" t="str">
        <f aca="false">IF($B49="","",TEXT($B49,"ddd"))</f>
        <v/>
      </c>
      <c r="D49" s="42"/>
      <c r="E49" s="43" t="str">
        <f aca="false">IF($D49="","",IFERROR(INDEX('📆 Current Week'!$E$12:$E$33,MATCH($D49,'⚙️ Settings'!$C$17:$C$38,0))/7,""))</f>
        <v/>
      </c>
      <c r="F49" s="44"/>
      <c r="G49" s="42"/>
      <c r="H49" s="45" t="str">
        <f aca="false">IF($D49="","",IFERROR(INDEX('⚙️ Settings'!$G$17:$G$38,MATCH($D49,'⚙️ Settings'!$C$17:$C$38,0)),FALSE()))</f>
        <v/>
      </c>
    </row>
    <row r="50" customFormat="false" ht="15" hidden="false" customHeight="false" outlineLevel="0" collapsed="false">
      <c r="B50" s="40"/>
      <c r="C50" s="41" t="str">
        <f aca="false">IF($B50="","",TEXT($B50,"ddd"))</f>
        <v/>
      </c>
      <c r="D50" s="42"/>
      <c r="E50" s="43" t="str">
        <f aca="false">IF($D50="","",IFERROR(INDEX('📆 Current Week'!$E$12:$E$33,MATCH($D50,'⚙️ Settings'!$C$17:$C$38,0))/7,""))</f>
        <v/>
      </c>
      <c r="F50" s="44"/>
      <c r="G50" s="42"/>
      <c r="H50" s="45" t="str">
        <f aca="false">IF($D50="","",IFERROR(INDEX('⚙️ Settings'!$G$17:$G$38,MATCH($D50,'⚙️ Settings'!$C$17:$C$38,0)),FALSE()))</f>
        <v/>
      </c>
    </row>
    <row r="51" customFormat="false" ht="15" hidden="false" customHeight="false" outlineLevel="0" collapsed="false">
      <c r="B51" s="40"/>
      <c r="C51" s="41" t="str">
        <f aca="false">IF($B51="","",TEXT($B51,"ddd"))</f>
        <v/>
      </c>
      <c r="D51" s="42"/>
      <c r="E51" s="43" t="str">
        <f aca="false">IF($D51="","",IFERROR(INDEX('📆 Current Week'!$E$12:$E$33,MATCH($D51,'⚙️ Settings'!$C$17:$C$38,0))/7,""))</f>
        <v/>
      </c>
      <c r="F51" s="44"/>
      <c r="G51" s="42"/>
      <c r="H51" s="45" t="str">
        <f aca="false">IF($D51="","",IFERROR(INDEX('⚙️ Settings'!$G$17:$G$38,MATCH($D51,'⚙️ Settings'!$C$17:$C$38,0)),FALSE()))</f>
        <v/>
      </c>
    </row>
    <row r="52" customFormat="false" ht="15" hidden="false" customHeight="false" outlineLevel="0" collapsed="false">
      <c r="B52" s="40"/>
      <c r="C52" s="41" t="str">
        <f aca="false">IF($B52="","",TEXT($B52,"ddd"))</f>
        <v/>
      </c>
      <c r="D52" s="42"/>
      <c r="E52" s="43" t="str">
        <f aca="false">IF($D52="","",IFERROR(INDEX('📆 Current Week'!$E$12:$E$33,MATCH($D52,'⚙️ Settings'!$C$17:$C$38,0))/7,""))</f>
        <v/>
      </c>
      <c r="F52" s="44"/>
      <c r="G52" s="42"/>
      <c r="H52" s="45" t="str">
        <f aca="false">IF($D52="","",IFERROR(INDEX('⚙️ Settings'!$G$17:$G$38,MATCH($D52,'⚙️ Settings'!$C$17:$C$38,0)),FALSE()))</f>
        <v/>
      </c>
    </row>
    <row r="53" customFormat="false" ht="15" hidden="false" customHeight="false" outlineLevel="0" collapsed="false">
      <c r="B53" s="40"/>
      <c r="C53" s="41" t="str">
        <f aca="false">IF($B53="","",TEXT($B53,"ddd"))</f>
        <v/>
      </c>
      <c r="D53" s="42"/>
      <c r="E53" s="43" t="str">
        <f aca="false">IF($D53="","",IFERROR(INDEX('📆 Current Week'!$E$12:$E$33,MATCH($D53,'⚙️ Settings'!$C$17:$C$38,0))/7,""))</f>
        <v/>
      </c>
      <c r="F53" s="44"/>
      <c r="G53" s="42"/>
      <c r="H53" s="45" t="str">
        <f aca="false">IF($D53="","",IFERROR(INDEX('⚙️ Settings'!$G$17:$G$38,MATCH($D53,'⚙️ Settings'!$C$17:$C$38,0)),FALSE()))</f>
        <v/>
      </c>
    </row>
    <row r="54" customFormat="false" ht="15" hidden="false" customHeight="false" outlineLevel="0" collapsed="false">
      <c r="B54" s="40"/>
      <c r="C54" s="41" t="str">
        <f aca="false">IF($B54="","",TEXT($B54,"ddd"))</f>
        <v/>
      </c>
      <c r="D54" s="42"/>
      <c r="E54" s="43" t="str">
        <f aca="false">IF($D54="","",IFERROR(INDEX('📆 Current Week'!$E$12:$E$33,MATCH($D54,'⚙️ Settings'!$C$17:$C$38,0))/7,""))</f>
        <v/>
      </c>
      <c r="F54" s="44"/>
      <c r="G54" s="42"/>
      <c r="H54" s="45" t="str">
        <f aca="false">IF($D54="","",IFERROR(INDEX('⚙️ Settings'!$G$17:$G$38,MATCH($D54,'⚙️ Settings'!$C$17:$C$38,0)),FALSE()))</f>
        <v/>
      </c>
    </row>
    <row r="55" customFormat="false" ht="15" hidden="false" customHeight="false" outlineLevel="0" collapsed="false">
      <c r="B55" s="40"/>
      <c r="C55" s="41" t="str">
        <f aca="false">IF($B55="","",TEXT($B55,"ddd"))</f>
        <v/>
      </c>
      <c r="D55" s="42"/>
      <c r="E55" s="43" t="str">
        <f aca="false">IF($D55="","",IFERROR(INDEX('📆 Current Week'!$E$12:$E$33,MATCH($D55,'⚙️ Settings'!$C$17:$C$38,0))/7,""))</f>
        <v/>
      </c>
      <c r="F55" s="44"/>
      <c r="G55" s="42"/>
      <c r="H55" s="45" t="str">
        <f aca="false">IF($D55="","",IFERROR(INDEX('⚙️ Settings'!$G$17:$G$38,MATCH($D55,'⚙️ Settings'!$C$17:$C$38,0)),FALSE()))</f>
        <v/>
      </c>
    </row>
    <row r="56" customFormat="false" ht="15" hidden="false" customHeight="false" outlineLevel="0" collapsed="false">
      <c r="B56" s="40"/>
      <c r="C56" s="41" t="str">
        <f aca="false">IF($B56="","",TEXT($B56,"ddd"))</f>
        <v/>
      </c>
      <c r="D56" s="42"/>
      <c r="E56" s="43" t="str">
        <f aca="false">IF($D56="","",IFERROR(INDEX('📆 Current Week'!$E$12:$E$33,MATCH($D56,'⚙️ Settings'!$C$17:$C$38,0))/7,""))</f>
        <v/>
      </c>
      <c r="F56" s="44"/>
      <c r="G56" s="42"/>
      <c r="H56" s="45" t="str">
        <f aca="false">IF($D56="","",IFERROR(INDEX('⚙️ Settings'!$G$17:$G$38,MATCH($D56,'⚙️ Settings'!$C$17:$C$38,0)),FALSE()))</f>
        <v/>
      </c>
    </row>
    <row r="57" customFormat="false" ht="15" hidden="false" customHeight="false" outlineLevel="0" collapsed="false">
      <c r="B57" s="40"/>
      <c r="C57" s="41" t="str">
        <f aca="false">IF($B57="","",TEXT($B57,"ddd"))</f>
        <v/>
      </c>
      <c r="D57" s="42"/>
      <c r="E57" s="43" t="str">
        <f aca="false">IF($D57="","",IFERROR(INDEX('📆 Current Week'!$E$12:$E$33,MATCH($D57,'⚙️ Settings'!$C$17:$C$38,0))/7,""))</f>
        <v/>
      </c>
      <c r="F57" s="44"/>
      <c r="G57" s="42"/>
      <c r="H57" s="45" t="str">
        <f aca="false">IF($D57="","",IFERROR(INDEX('⚙️ Settings'!$G$17:$G$38,MATCH($D57,'⚙️ Settings'!$C$17:$C$38,0)),FALSE()))</f>
        <v/>
      </c>
    </row>
    <row r="58" customFormat="false" ht="15" hidden="false" customHeight="false" outlineLevel="0" collapsed="false">
      <c r="B58" s="40"/>
      <c r="C58" s="41" t="str">
        <f aca="false">IF($B58="","",TEXT($B58,"ddd"))</f>
        <v/>
      </c>
      <c r="D58" s="42"/>
      <c r="E58" s="43" t="str">
        <f aca="false">IF($D58="","",IFERROR(INDEX('📆 Current Week'!$E$12:$E$33,MATCH($D58,'⚙️ Settings'!$C$17:$C$38,0))/7,""))</f>
        <v/>
      </c>
      <c r="F58" s="44"/>
      <c r="G58" s="42"/>
      <c r="H58" s="45" t="str">
        <f aca="false">IF($D58="","",IFERROR(INDEX('⚙️ Settings'!$G$17:$G$38,MATCH($D58,'⚙️ Settings'!$C$17:$C$38,0)),FALSE()))</f>
        <v/>
      </c>
    </row>
    <row r="59" customFormat="false" ht="15" hidden="false" customHeight="false" outlineLevel="0" collapsed="false">
      <c r="B59" s="40"/>
      <c r="C59" s="41" t="str">
        <f aca="false">IF($B59="","",TEXT($B59,"ddd"))</f>
        <v/>
      </c>
      <c r="D59" s="42"/>
      <c r="E59" s="43" t="str">
        <f aca="false">IF($D59="","",IFERROR(INDEX('📆 Current Week'!$E$12:$E$33,MATCH($D59,'⚙️ Settings'!$C$17:$C$38,0))/7,""))</f>
        <v/>
      </c>
      <c r="F59" s="44"/>
      <c r="G59" s="42"/>
      <c r="H59" s="45" t="str">
        <f aca="false">IF($D59="","",IFERROR(INDEX('⚙️ Settings'!$G$17:$G$38,MATCH($D59,'⚙️ Settings'!$C$17:$C$38,0)),FALSE()))</f>
        <v/>
      </c>
    </row>
    <row r="60" customFormat="false" ht="15" hidden="false" customHeight="false" outlineLevel="0" collapsed="false">
      <c r="B60" s="40"/>
      <c r="C60" s="41" t="str">
        <f aca="false">IF($B60="","",TEXT($B60,"ddd"))</f>
        <v/>
      </c>
      <c r="D60" s="42"/>
      <c r="E60" s="43" t="str">
        <f aca="false">IF($D60="","",IFERROR(INDEX('📆 Current Week'!$E$12:$E$33,MATCH($D60,'⚙️ Settings'!$C$17:$C$38,0))/7,""))</f>
        <v/>
      </c>
      <c r="F60" s="44"/>
      <c r="G60" s="42"/>
      <c r="H60" s="45" t="str">
        <f aca="false">IF($D60="","",IFERROR(INDEX('⚙️ Settings'!$G$17:$G$38,MATCH($D60,'⚙️ Settings'!$C$17:$C$38,0)),FALSE()))</f>
        <v/>
      </c>
    </row>
    <row r="61" customFormat="false" ht="15" hidden="false" customHeight="false" outlineLevel="0" collapsed="false">
      <c r="B61" s="40"/>
      <c r="C61" s="41" t="str">
        <f aca="false">IF($B61="","",TEXT($B61,"ddd"))</f>
        <v/>
      </c>
      <c r="D61" s="42"/>
      <c r="E61" s="43" t="str">
        <f aca="false">IF($D61="","",IFERROR(INDEX('📆 Current Week'!$E$12:$E$33,MATCH($D61,'⚙️ Settings'!$C$17:$C$38,0))/7,""))</f>
        <v/>
      </c>
      <c r="F61" s="44"/>
      <c r="G61" s="42"/>
      <c r="H61" s="45" t="str">
        <f aca="false">IF($D61="","",IFERROR(INDEX('⚙️ Settings'!$G$17:$G$38,MATCH($D61,'⚙️ Settings'!$C$17:$C$38,0)),FALSE()))</f>
        <v/>
      </c>
    </row>
    <row r="62" customFormat="false" ht="15" hidden="false" customHeight="false" outlineLevel="0" collapsed="false">
      <c r="B62" s="40"/>
      <c r="C62" s="41" t="str">
        <f aca="false">IF($B62="","",TEXT($B62,"ddd"))</f>
        <v/>
      </c>
      <c r="D62" s="42"/>
      <c r="E62" s="43" t="str">
        <f aca="false">IF($D62="","",IFERROR(INDEX('📆 Current Week'!$E$12:$E$33,MATCH($D62,'⚙️ Settings'!$C$17:$C$38,0))/7,""))</f>
        <v/>
      </c>
      <c r="F62" s="44"/>
      <c r="G62" s="42"/>
      <c r="H62" s="45" t="str">
        <f aca="false">IF($D62="","",IFERROR(INDEX('⚙️ Settings'!$G$17:$G$38,MATCH($D62,'⚙️ Settings'!$C$17:$C$38,0)),FALSE()))</f>
        <v/>
      </c>
    </row>
    <row r="63" customFormat="false" ht="15" hidden="false" customHeight="false" outlineLevel="0" collapsed="false">
      <c r="B63" s="40"/>
      <c r="C63" s="41" t="str">
        <f aca="false">IF($B63="","",TEXT($B63,"ddd"))</f>
        <v/>
      </c>
      <c r="D63" s="42"/>
      <c r="E63" s="43" t="str">
        <f aca="false">IF($D63="","",IFERROR(INDEX('📆 Current Week'!$E$12:$E$33,MATCH($D63,'⚙️ Settings'!$C$17:$C$38,0))/7,""))</f>
        <v/>
      </c>
      <c r="F63" s="44"/>
      <c r="G63" s="42"/>
      <c r="H63" s="45" t="str">
        <f aca="false">IF($D63="","",IFERROR(INDEX('⚙️ Settings'!$G$17:$G$38,MATCH($D63,'⚙️ Settings'!$C$17:$C$38,0)),FALSE()))</f>
        <v/>
      </c>
    </row>
    <row r="64" customFormat="false" ht="15" hidden="false" customHeight="false" outlineLevel="0" collapsed="false">
      <c r="B64" s="40"/>
      <c r="C64" s="41" t="str">
        <f aca="false">IF($B64="","",TEXT($B64,"ddd"))</f>
        <v/>
      </c>
      <c r="D64" s="42"/>
      <c r="E64" s="43" t="str">
        <f aca="false">IF($D64="","",IFERROR(INDEX('📆 Current Week'!$E$12:$E$33,MATCH($D64,'⚙️ Settings'!$C$17:$C$38,0))/7,""))</f>
        <v/>
      </c>
      <c r="F64" s="44"/>
      <c r="G64" s="42"/>
      <c r="H64" s="45" t="str">
        <f aca="false">IF($D64="","",IFERROR(INDEX('⚙️ Settings'!$G$17:$G$38,MATCH($D64,'⚙️ Settings'!$C$17:$C$38,0)),FALSE()))</f>
        <v/>
      </c>
    </row>
    <row r="65" customFormat="false" ht="15" hidden="false" customHeight="false" outlineLevel="0" collapsed="false">
      <c r="B65" s="40"/>
      <c r="C65" s="41" t="str">
        <f aca="false">IF($B65="","",TEXT($B65,"ddd"))</f>
        <v/>
      </c>
      <c r="D65" s="42"/>
      <c r="E65" s="43" t="str">
        <f aca="false">IF($D65="","",IFERROR(INDEX('📆 Current Week'!$E$12:$E$33,MATCH($D65,'⚙️ Settings'!$C$17:$C$38,0))/7,""))</f>
        <v/>
      </c>
      <c r="F65" s="44"/>
      <c r="G65" s="42"/>
      <c r="H65" s="45" t="str">
        <f aca="false">IF($D65="","",IFERROR(INDEX('⚙️ Settings'!$G$17:$G$38,MATCH($D65,'⚙️ Settings'!$C$17:$C$38,0)),FALSE()))</f>
        <v/>
      </c>
    </row>
    <row r="66" customFormat="false" ht="15" hidden="false" customHeight="false" outlineLevel="0" collapsed="false">
      <c r="B66" s="40"/>
      <c r="C66" s="41" t="str">
        <f aca="false">IF($B66="","",TEXT($B66,"ddd"))</f>
        <v/>
      </c>
      <c r="D66" s="42"/>
      <c r="E66" s="43" t="str">
        <f aca="false">IF($D66="","",IFERROR(INDEX('📆 Current Week'!$E$12:$E$33,MATCH($D66,'⚙️ Settings'!$C$17:$C$38,0))/7,""))</f>
        <v/>
      </c>
      <c r="F66" s="44"/>
      <c r="G66" s="42"/>
      <c r="H66" s="45" t="str">
        <f aca="false">IF($D66="","",IFERROR(INDEX('⚙️ Settings'!$G$17:$G$38,MATCH($D66,'⚙️ Settings'!$C$17:$C$38,0)),FALSE()))</f>
        <v/>
      </c>
    </row>
    <row r="67" customFormat="false" ht="15" hidden="false" customHeight="false" outlineLevel="0" collapsed="false">
      <c r="B67" s="40"/>
      <c r="C67" s="41" t="str">
        <f aca="false">IF($B67="","",TEXT($B67,"ddd"))</f>
        <v/>
      </c>
      <c r="D67" s="42"/>
      <c r="E67" s="43" t="str">
        <f aca="false">IF($D67="","",IFERROR(INDEX('📆 Current Week'!$E$12:$E$33,MATCH($D67,'⚙️ Settings'!$C$17:$C$38,0))/7,""))</f>
        <v/>
      </c>
      <c r="F67" s="44"/>
      <c r="G67" s="42"/>
      <c r="H67" s="45" t="str">
        <f aca="false">IF($D67="","",IFERROR(INDEX('⚙️ Settings'!$G$17:$G$38,MATCH($D67,'⚙️ Settings'!$C$17:$C$38,0)),FALSE()))</f>
        <v/>
      </c>
    </row>
    <row r="68" customFormat="false" ht="15" hidden="false" customHeight="false" outlineLevel="0" collapsed="false">
      <c r="B68" s="40"/>
      <c r="C68" s="41" t="str">
        <f aca="false">IF($B68="","",TEXT($B68,"ddd"))</f>
        <v/>
      </c>
      <c r="D68" s="42"/>
      <c r="E68" s="43" t="str">
        <f aca="false">IF($D68="","",IFERROR(INDEX('📆 Current Week'!$E$12:$E$33,MATCH($D68,'⚙️ Settings'!$C$17:$C$38,0))/7,""))</f>
        <v/>
      </c>
      <c r="F68" s="44"/>
      <c r="G68" s="42"/>
      <c r="H68" s="45" t="str">
        <f aca="false">IF($D68="","",IFERROR(INDEX('⚙️ Settings'!$G$17:$G$38,MATCH($D68,'⚙️ Settings'!$C$17:$C$38,0)),FALSE()))</f>
        <v/>
      </c>
    </row>
    <row r="69" customFormat="false" ht="15" hidden="false" customHeight="false" outlineLevel="0" collapsed="false">
      <c r="B69" s="40"/>
      <c r="C69" s="41" t="str">
        <f aca="false">IF($B69="","",TEXT($B69,"ddd"))</f>
        <v/>
      </c>
      <c r="D69" s="42"/>
      <c r="E69" s="43" t="str">
        <f aca="false">IF($D69="","",IFERROR(INDEX('📆 Current Week'!$E$12:$E$33,MATCH($D69,'⚙️ Settings'!$C$17:$C$38,0))/7,""))</f>
        <v/>
      </c>
      <c r="F69" s="44"/>
      <c r="G69" s="42"/>
      <c r="H69" s="45" t="str">
        <f aca="false">IF($D69="","",IFERROR(INDEX('⚙️ Settings'!$G$17:$G$38,MATCH($D69,'⚙️ Settings'!$C$17:$C$38,0)),FALSE()))</f>
        <v/>
      </c>
    </row>
    <row r="70" customFormat="false" ht="15" hidden="false" customHeight="false" outlineLevel="0" collapsed="false">
      <c r="B70" s="40"/>
      <c r="C70" s="41" t="str">
        <f aca="false">IF($B70="","",TEXT($B70,"ddd"))</f>
        <v/>
      </c>
      <c r="D70" s="42"/>
      <c r="E70" s="43" t="str">
        <f aca="false">IF($D70="","",IFERROR(INDEX('📆 Current Week'!$E$12:$E$33,MATCH($D70,'⚙️ Settings'!$C$17:$C$38,0))/7,""))</f>
        <v/>
      </c>
      <c r="F70" s="44"/>
      <c r="G70" s="42"/>
      <c r="H70" s="45" t="str">
        <f aca="false">IF($D70="","",IFERROR(INDEX('⚙️ Settings'!$G$17:$G$38,MATCH($D70,'⚙️ Settings'!$C$17:$C$38,0)),FALSE()))</f>
        <v/>
      </c>
    </row>
    <row r="71" customFormat="false" ht="15" hidden="false" customHeight="false" outlineLevel="0" collapsed="false">
      <c r="B71" s="40"/>
      <c r="C71" s="41" t="str">
        <f aca="false">IF($B71="","",TEXT($B71,"ddd"))</f>
        <v/>
      </c>
      <c r="D71" s="42"/>
      <c r="E71" s="43" t="str">
        <f aca="false">IF($D71="","",IFERROR(INDEX('📆 Current Week'!$E$12:$E$33,MATCH($D71,'⚙️ Settings'!$C$17:$C$38,0))/7,""))</f>
        <v/>
      </c>
      <c r="F71" s="44"/>
      <c r="G71" s="42"/>
      <c r="H71" s="45" t="str">
        <f aca="false">IF($D71="","",IFERROR(INDEX('⚙️ Settings'!$G$17:$G$38,MATCH($D71,'⚙️ Settings'!$C$17:$C$38,0)),FALSE()))</f>
        <v/>
      </c>
    </row>
    <row r="72" customFormat="false" ht="15" hidden="false" customHeight="false" outlineLevel="0" collapsed="false">
      <c r="B72" s="40"/>
      <c r="C72" s="41" t="str">
        <f aca="false">IF($B72="","",TEXT($B72,"ddd"))</f>
        <v/>
      </c>
      <c r="D72" s="42"/>
      <c r="E72" s="43" t="str">
        <f aca="false">IF($D72="","",IFERROR(INDEX('📆 Current Week'!$E$12:$E$33,MATCH($D72,'⚙️ Settings'!$C$17:$C$38,0))/7,""))</f>
        <v/>
      </c>
      <c r="F72" s="44"/>
      <c r="G72" s="42"/>
      <c r="H72" s="45" t="str">
        <f aca="false">IF($D72="","",IFERROR(INDEX('⚙️ Settings'!$G$17:$G$38,MATCH($D72,'⚙️ Settings'!$C$17:$C$38,0)),FALSE()))</f>
        <v/>
      </c>
    </row>
    <row r="73" customFormat="false" ht="15" hidden="false" customHeight="false" outlineLevel="0" collapsed="false">
      <c r="B73" s="40"/>
      <c r="C73" s="41" t="str">
        <f aca="false">IF($B73="","",TEXT($B73,"ddd"))</f>
        <v/>
      </c>
      <c r="D73" s="42"/>
      <c r="E73" s="43" t="str">
        <f aca="false">IF($D73="","",IFERROR(INDEX('📆 Current Week'!$E$12:$E$33,MATCH($D73,'⚙️ Settings'!$C$17:$C$38,0))/7,""))</f>
        <v/>
      </c>
      <c r="F73" s="44"/>
      <c r="G73" s="42"/>
      <c r="H73" s="45" t="str">
        <f aca="false">IF($D73="","",IFERROR(INDEX('⚙️ Settings'!$G$17:$G$38,MATCH($D73,'⚙️ Settings'!$C$17:$C$38,0)),FALSE()))</f>
        <v/>
      </c>
    </row>
    <row r="74" customFormat="false" ht="15" hidden="false" customHeight="false" outlineLevel="0" collapsed="false">
      <c r="B74" s="40"/>
      <c r="C74" s="41" t="str">
        <f aca="false">IF($B74="","",TEXT($B74,"ddd"))</f>
        <v/>
      </c>
      <c r="D74" s="42"/>
      <c r="E74" s="43" t="str">
        <f aca="false">IF($D74="","",IFERROR(INDEX('📆 Current Week'!$E$12:$E$33,MATCH($D74,'⚙️ Settings'!$C$17:$C$38,0))/7,""))</f>
        <v/>
      </c>
      <c r="F74" s="44"/>
      <c r="G74" s="42"/>
      <c r="H74" s="45" t="str">
        <f aca="false">IF($D74="","",IFERROR(INDEX('⚙️ Settings'!$G$17:$G$38,MATCH($D74,'⚙️ Settings'!$C$17:$C$38,0)),FALSE()))</f>
        <v/>
      </c>
    </row>
    <row r="75" customFormat="false" ht="15" hidden="false" customHeight="false" outlineLevel="0" collapsed="false">
      <c r="B75" s="40"/>
      <c r="C75" s="41" t="str">
        <f aca="false">IF($B75="","",TEXT($B75,"ddd"))</f>
        <v/>
      </c>
      <c r="D75" s="42"/>
      <c r="E75" s="43" t="str">
        <f aca="false">IF($D75="","",IFERROR(INDEX('📆 Current Week'!$E$12:$E$33,MATCH($D75,'⚙️ Settings'!$C$17:$C$38,0))/7,""))</f>
        <v/>
      </c>
      <c r="F75" s="44"/>
      <c r="G75" s="42"/>
      <c r="H75" s="45" t="str">
        <f aca="false">IF($D75="","",IFERROR(INDEX('⚙️ Settings'!$G$17:$G$38,MATCH($D75,'⚙️ Settings'!$C$17:$C$38,0)),FALSE()))</f>
        <v/>
      </c>
    </row>
    <row r="76" customFormat="false" ht="15" hidden="false" customHeight="false" outlineLevel="0" collapsed="false">
      <c r="B76" s="40"/>
      <c r="C76" s="41" t="str">
        <f aca="false">IF($B76="","",TEXT($B76,"ddd"))</f>
        <v/>
      </c>
      <c r="D76" s="42"/>
      <c r="E76" s="43" t="str">
        <f aca="false">IF($D76="","",IFERROR(INDEX('📆 Current Week'!$E$12:$E$33,MATCH($D76,'⚙️ Settings'!$C$17:$C$38,0))/7,""))</f>
        <v/>
      </c>
      <c r="F76" s="44"/>
      <c r="G76" s="42"/>
      <c r="H76" s="45" t="str">
        <f aca="false">IF($D76="","",IFERROR(INDEX('⚙️ Settings'!$G$17:$G$38,MATCH($D76,'⚙️ Settings'!$C$17:$C$38,0)),FALSE()))</f>
        <v/>
      </c>
    </row>
    <row r="77" customFormat="false" ht="15" hidden="false" customHeight="false" outlineLevel="0" collapsed="false">
      <c r="B77" s="40"/>
      <c r="C77" s="41" t="str">
        <f aca="false">IF($B77="","",TEXT($B77,"ddd"))</f>
        <v/>
      </c>
      <c r="D77" s="42"/>
      <c r="E77" s="43" t="str">
        <f aca="false">IF($D77="","",IFERROR(INDEX('📆 Current Week'!$E$12:$E$33,MATCH($D77,'⚙️ Settings'!$C$17:$C$38,0))/7,""))</f>
        <v/>
      </c>
      <c r="F77" s="44"/>
      <c r="G77" s="42"/>
      <c r="H77" s="45" t="str">
        <f aca="false">IF($D77="","",IFERROR(INDEX('⚙️ Settings'!$G$17:$G$38,MATCH($D77,'⚙️ Settings'!$C$17:$C$38,0)),FALSE()))</f>
        <v/>
      </c>
    </row>
    <row r="78" customFormat="false" ht="15" hidden="false" customHeight="false" outlineLevel="0" collapsed="false">
      <c r="B78" s="40"/>
      <c r="C78" s="41" t="str">
        <f aca="false">IF($B78="","",TEXT($B78,"ddd"))</f>
        <v/>
      </c>
      <c r="D78" s="42"/>
      <c r="E78" s="43" t="str">
        <f aca="false">IF($D78="","",IFERROR(INDEX('📆 Current Week'!$E$12:$E$33,MATCH($D78,'⚙️ Settings'!$C$17:$C$38,0))/7,""))</f>
        <v/>
      </c>
      <c r="F78" s="44"/>
      <c r="G78" s="42"/>
      <c r="H78" s="45" t="str">
        <f aca="false">IF($D78="","",IFERROR(INDEX('⚙️ Settings'!$G$17:$G$38,MATCH($D78,'⚙️ Settings'!$C$17:$C$38,0)),FALSE()))</f>
        <v/>
      </c>
    </row>
    <row r="79" customFormat="false" ht="15" hidden="false" customHeight="false" outlineLevel="0" collapsed="false">
      <c r="B79" s="40"/>
      <c r="C79" s="41" t="str">
        <f aca="false">IF($B79="","",TEXT($B79,"ddd"))</f>
        <v/>
      </c>
      <c r="D79" s="42"/>
      <c r="E79" s="43" t="str">
        <f aca="false">IF($D79="","",IFERROR(INDEX('📆 Current Week'!$E$12:$E$33,MATCH($D79,'⚙️ Settings'!$C$17:$C$38,0))/7,""))</f>
        <v/>
      </c>
      <c r="F79" s="44"/>
      <c r="G79" s="42"/>
      <c r="H79" s="45" t="str">
        <f aca="false">IF($D79="","",IFERROR(INDEX('⚙️ Settings'!$G$17:$G$38,MATCH($D79,'⚙️ Settings'!$C$17:$C$38,0)),FALSE()))</f>
        <v/>
      </c>
    </row>
    <row r="80" customFormat="false" ht="15" hidden="false" customHeight="false" outlineLevel="0" collapsed="false">
      <c r="B80" s="40"/>
      <c r="C80" s="41" t="str">
        <f aca="false">IF($B80="","",TEXT($B80,"ddd"))</f>
        <v/>
      </c>
      <c r="D80" s="42"/>
      <c r="E80" s="43" t="str">
        <f aca="false">IF($D80="","",IFERROR(INDEX('📆 Current Week'!$E$12:$E$33,MATCH($D80,'⚙️ Settings'!$C$17:$C$38,0))/7,""))</f>
        <v/>
      </c>
      <c r="F80" s="44"/>
      <c r="G80" s="42"/>
      <c r="H80" s="45" t="str">
        <f aca="false">IF($D80="","",IFERROR(INDEX('⚙️ Settings'!$G$17:$G$38,MATCH($D80,'⚙️ Settings'!$C$17:$C$38,0)),FALSE()))</f>
        <v/>
      </c>
    </row>
    <row r="81" customFormat="false" ht="15" hidden="false" customHeight="false" outlineLevel="0" collapsed="false">
      <c r="B81" s="40"/>
      <c r="C81" s="41" t="str">
        <f aca="false">IF($B81="","",TEXT($B81,"ddd"))</f>
        <v/>
      </c>
      <c r="D81" s="42"/>
      <c r="E81" s="43" t="str">
        <f aca="false">IF($D81="","",IFERROR(INDEX('📆 Current Week'!$E$12:$E$33,MATCH($D81,'⚙️ Settings'!$C$17:$C$38,0))/7,""))</f>
        <v/>
      </c>
      <c r="F81" s="44"/>
      <c r="G81" s="42"/>
      <c r="H81" s="45" t="str">
        <f aca="false">IF($D81="","",IFERROR(INDEX('⚙️ Settings'!$G$17:$G$38,MATCH($D81,'⚙️ Settings'!$C$17:$C$38,0)),FALSE()))</f>
        <v/>
      </c>
    </row>
    <row r="82" customFormat="false" ht="15" hidden="false" customHeight="false" outlineLevel="0" collapsed="false">
      <c r="B82" s="40"/>
      <c r="C82" s="41" t="str">
        <f aca="false">IF($B82="","",TEXT($B82,"ddd"))</f>
        <v/>
      </c>
      <c r="D82" s="42"/>
      <c r="E82" s="43" t="str">
        <f aca="false">IF($D82="","",IFERROR(INDEX('📆 Current Week'!$E$12:$E$33,MATCH($D82,'⚙️ Settings'!$C$17:$C$38,0))/7,""))</f>
        <v/>
      </c>
      <c r="F82" s="44"/>
      <c r="G82" s="42"/>
      <c r="H82" s="45" t="str">
        <f aca="false">IF($D82="","",IFERROR(INDEX('⚙️ Settings'!$G$17:$G$38,MATCH($D82,'⚙️ Settings'!$C$17:$C$38,0)),FALSE()))</f>
        <v/>
      </c>
    </row>
    <row r="83" customFormat="false" ht="15" hidden="false" customHeight="false" outlineLevel="0" collapsed="false">
      <c r="B83" s="40"/>
      <c r="C83" s="41" t="str">
        <f aca="false">IF($B83="","",TEXT($B83,"ddd"))</f>
        <v/>
      </c>
      <c r="D83" s="42"/>
      <c r="E83" s="43" t="str">
        <f aca="false">IF($D83="","",IFERROR(INDEX('📆 Current Week'!$E$12:$E$33,MATCH($D83,'⚙️ Settings'!$C$17:$C$38,0))/7,""))</f>
        <v/>
      </c>
      <c r="F83" s="44"/>
      <c r="G83" s="42"/>
      <c r="H83" s="45" t="str">
        <f aca="false">IF($D83="","",IFERROR(INDEX('⚙️ Settings'!$G$17:$G$38,MATCH($D83,'⚙️ Settings'!$C$17:$C$38,0)),FALSE()))</f>
        <v/>
      </c>
    </row>
    <row r="84" customFormat="false" ht="15" hidden="false" customHeight="false" outlineLevel="0" collapsed="false">
      <c r="B84" s="40"/>
      <c r="C84" s="41" t="str">
        <f aca="false">IF($B84="","",TEXT($B84,"ddd"))</f>
        <v/>
      </c>
      <c r="D84" s="42"/>
      <c r="E84" s="43" t="str">
        <f aca="false">IF($D84="","",IFERROR(INDEX('📆 Current Week'!$E$12:$E$33,MATCH($D84,'⚙️ Settings'!$C$17:$C$38,0))/7,""))</f>
        <v/>
      </c>
      <c r="F84" s="44"/>
      <c r="G84" s="42"/>
      <c r="H84" s="45" t="str">
        <f aca="false">IF($D84="","",IFERROR(INDEX('⚙️ Settings'!$G$17:$G$38,MATCH($D84,'⚙️ Settings'!$C$17:$C$38,0)),FALSE()))</f>
        <v/>
      </c>
    </row>
    <row r="85" customFormat="false" ht="15" hidden="false" customHeight="false" outlineLevel="0" collapsed="false">
      <c r="B85" s="40"/>
      <c r="C85" s="41" t="str">
        <f aca="false">IF($B85="","",TEXT($B85,"ddd"))</f>
        <v/>
      </c>
      <c r="D85" s="42"/>
      <c r="E85" s="43" t="str">
        <f aca="false">IF($D85="","",IFERROR(INDEX('📆 Current Week'!$E$12:$E$33,MATCH($D85,'⚙️ Settings'!$C$17:$C$38,0))/7,""))</f>
        <v/>
      </c>
      <c r="F85" s="44"/>
      <c r="G85" s="42"/>
      <c r="H85" s="45" t="str">
        <f aca="false">IF($D85="","",IFERROR(INDEX('⚙️ Settings'!$G$17:$G$38,MATCH($D85,'⚙️ Settings'!$C$17:$C$38,0)),FALSE()))</f>
        <v/>
      </c>
    </row>
    <row r="86" customFormat="false" ht="15" hidden="false" customHeight="false" outlineLevel="0" collapsed="false">
      <c r="B86" s="40"/>
      <c r="C86" s="41" t="str">
        <f aca="false">IF($B86="","",TEXT($B86,"ddd"))</f>
        <v/>
      </c>
      <c r="D86" s="42"/>
      <c r="E86" s="43" t="str">
        <f aca="false">IF($D86="","",IFERROR(INDEX('📆 Current Week'!$E$12:$E$33,MATCH($D86,'⚙️ Settings'!$C$17:$C$38,0))/7,""))</f>
        <v/>
      </c>
      <c r="F86" s="44"/>
      <c r="G86" s="42"/>
      <c r="H86" s="45" t="str">
        <f aca="false">IF($D86="","",IFERROR(INDEX('⚙️ Settings'!$G$17:$G$38,MATCH($D86,'⚙️ Settings'!$C$17:$C$38,0)),FALSE()))</f>
        <v/>
      </c>
    </row>
    <row r="87" customFormat="false" ht="15" hidden="false" customHeight="false" outlineLevel="0" collapsed="false">
      <c r="B87" s="40"/>
      <c r="C87" s="41" t="str">
        <f aca="false">IF($B87="","",TEXT($B87,"ddd"))</f>
        <v/>
      </c>
      <c r="D87" s="42"/>
      <c r="E87" s="43" t="str">
        <f aca="false">IF($D87="","",IFERROR(INDEX('📆 Current Week'!$E$12:$E$33,MATCH($D87,'⚙️ Settings'!$C$17:$C$38,0))/7,""))</f>
        <v/>
      </c>
      <c r="F87" s="44"/>
      <c r="G87" s="42"/>
      <c r="H87" s="45" t="str">
        <f aca="false">IF($D87="","",IFERROR(INDEX('⚙️ Settings'!$G$17:$G$38,MATCH($D87,'⚙️ Settings'!$C$17:$C$38,0)),FALSE()))</f>
        <v/>
      </c>
    </row>
    <row r="88" customFormat="false" ht="15" hidden="false" customHeight="false" outlineLevel="0" collapsed="false">
      <c r="B88" s="40"/>
      <c r="C88" s="41" t="str">
        <f aca="false">IF($B88="","",TEXT($B88,"ddd"))</f>
        <v/>
      </c>
      <c r="D88" s="42"/>
      <c r="E88" s="43" t="str">
        <f aca="false">IF($D88="","",IFERROR(INDEX('📆 Current Week'!$E$12:$E$33,MATCH($D88,'⚙️ Settings'!$C$17:$C$38,0))/7,""))</f>
        <v/>
      </c>
      <c r="F88" s="44"/>
      <c r="G88" s="42"/>
      <c r="H88" s="45" t="str">
        <f aca="false">IF($D88="","",IFERROR(INDEX('⚙️ Settings'!$G$17:$G$38,MATCH($D88,'⚙️ Settings'!$C$17:$C$38,0)),FALSE()))</f>
        <v/>
      </c>
    </row>
    <row r="89" customFormat="false" ht="15" hidden="false" customHeight="false" outlineLevel="0" collapsed="false">
      <c r="B89" s="40"/>
      <c r="C89" s="41" t="str">
        <f aca="false">IF($B89="","",TEXT($B89,"ddd"))</f>
        <v/>
      </c>
      <c r="D89" s="42"/>
      <c r="E89" s="43" t="str">
        <f aca="false">IF($D89="","",IFERROR(INDEX('📆 Current Week'!$E$12:$E$33,MATCH($D89,'⚙️ Settings'!$C$17:$C$38,0))/7,""))</f>
        <v/>
      </c>
      <c r="F89" s="44"/>
      <c r="G89" s="42"/>
      <c r="H89" s="45" t="str">
        <f aca="false">IF($D89="","",IFERROR(INDEX('⚙️ Settings'!$G$17:$G$38,MATCH($D89,'⚙️ Settings'!$C$17:$C$38,0)),FALSE()))</f>
        <v/>
      </c>
    </row>
    <row r="90" customFormat="false" ht="15" hidden="false" customHeight="false" outlineLevel="0" collapsed="false">
      <c r="B90" s="40"/>
      <c r="C90" s="41" t="str">
        <f aca="false">IF($B90="","",TEXT($B90,"ddd"))</f>
        <v/>
      </c>
      <c r="D90" s="42"/>
      <c r="E90" s="43" t="str">
        <f aca="false">IF($D90="","",IFERROR(INDEX('📆 Current Week'!$E$12:$E$33,MATCH($D90,'⚙️ Settings'!$C$17:$C$38,0))/7,""))</f>
        <v/>
      </c>
      <c r="F90" s="44"/>
      <c r="G90" s="42"/>
      <c r="H90" s="45" t="str">
        <f aca="false">IF($D90="","",IFERROR(INDEX('⚙️ Settings'!$G$17:$G$38,MATCH($D90,'⚙️ Settings'!$C$17:$C$38,0)),FALSE()))</f>
        <v/>
      </c>
    </row>
    <row r="91" customFormat="false" ht="15" hidden="false" customHeight="false" outlineLevel="0" collapsed="false">
      <c r="B91" s="40"/>
      <c r="C91" s="41" t="str">
        <f aca="false">IF($B91="","",TEXT($B91,"ddd"))</f>
        <v/>
      </c>
      <c r="D91" s="42"/>
      <c r="E91" s="43" t="str">
        <f aca="false">IF($D91="","",IFERROR(INDEX('📆 Current Week'!$E$12:$E$33,MATCH($D91,'⚙️ Settings'!$C$17:$C$38,0))/7,""))</f>
        <v/>
      </c>
      <c r="F91" s="44"/>
      <c r="G91" s="42"/>
      <c r="H91" s="45" t="str">
        <f aca="false">IF($D91="","",IFERROR(INDEX('⚙️ Settings'!$G$17:$G$38,MATCH($D91,'⚙️ Settings'!$C$17:$C$38,0)),FALSE()))</f>
        <v/>
      </c>
    </row>
    <row r="92" customFormat="false" ht="15" hidden="false" customHeight="false" outlineLevel="0" collapsed="false">
      <c r="B92" s="40"/>
      <c r="C92" s="41" t="str">
        <f aca="false">IF($B92="","",TEXT($B92,"ddd"))</f>
        <v/>
      </c>
      <c r="D92" s="42"/>
      <c r="E92" s="43" t="str">
        <f aca="false">IF($D92="","",IFERROR(INDEX('📆 Current Week'!$E$12:$E$33,MATCH($D92,'⚙️ Settings'!$C$17:$C$38,0))/7,""))</f>
        <v/>
      </c>
      <c r="F92" s="44"/>
      <c r="G92" s="42"/>
      <c r="H92" s="45" t="str">
        <f aca="false">IF($D92="","",IFERROR(INDEX('⚙️ Settings'!$G$17:$G$38,MATCH($D92,'⚙️ Settings'!$C$17:$C$38,0)),FALSE()))</f>
        <v/>
      </c>
    </row>
    <row r="93" customFormat="false" ht="15" hidden="false" customHeight="false" outlineLevel="0" collapsed="false">
      <c r="B93" s="40"/>
      <c r="C93" s="41" t="str">
        <f aca="false">IF($B93="","",TEXT($B93,"ddd"))</f>
        <v/>
      </c>
      <c r="D93" s="42"/>
      <c r="E93" s="43" t="str">
        <f aca="false">IF($D93="","",IFERROR(INDEX('📆 Current Week'!$E$12:$E$33,MATCH($D93,'⚙️ Settings'!$C$17:$C$38,0))/7,""))</f>
        <v/>
      </c>
      <c r="F93" s="44"/>
      <c r="G93" s="42"/>
      <c r="H93" s="45" t="str">
        <f aca="false">IF($D93="","",IFERROR(INDEX('⚙️ Settings'!$G$17:$G$38,MATCH($D93,'⚙️ Settings'!$C$17:$C$38,0)),FALSE()))</f>
        <v/>
      </c>
    </row>
    <row r="94" customFormat="false" ht="15" hidden="false" customHeight="false" outlineLevel="0" collapsed="false">
      <c r="B94" s="40"/>
      <c r="C94" s="41" t="str">
        <f aca="false">IF($B94="","",TEXT($B94,"ddd"))</f>
        <v/>
      </c>
      <c r="D94" s="42"/>
      <c r="E94" s="43" t="str">
        <f aca="false">IF($D94="","",IFERROR(INDEX('📆 Current Week'!$E$12:$E$33,MATCH($D94,'⚙️ Settings'!$C$17:$C$38,0))/7,""))</f>
        <v/>
      </c>
      <c r="F94" s="44"/>
      <c r="G94" s="42"/>
      <c r="H94" s="45" t="str">
        <f aca="false">IF($D94="","",IFERROR(INDEX('⚙️ Settings'!$G$17:$G$38,MATCH($D94,'⚙️ Settings'!$C$17:$C$38,0)),FALSE()))</f>
        <v/>
      </c>
    </row>
    <row r="95" customFormat="false" ht="15" hidden="false" customHeight="false" outlineLevel="0" collapsed="false">
      <c r="B95" s="40"/>
      <c r="C95" s="41" t="str">
        <f aca="false">IF($B95="","",TEXT($B95,"ddd"))</f>
        <v/>
      </c>
      <c r="D95" s="42"/>
      <c r="E95" s="43" t="str">
        <f aca="false">IF($D95="","",IFERROR(INDEX('📆 Current Week'!$E$12:$E$33,MATCH($D95,'⚙️ Settings'!$C$17:$C$38,0))/7,""))</f>
        <v/>
      </c>
      <c r="F95" s="44"/>
      <c r="G95" s="42"/>
      <c r="H95" s="45" t="str">
        <f aca="false">IF($D95="","",IFERROR(INDEX('⚙️ Settings'!$G$17:$G$38,MATCH($D95,'⚙️ Settings'!$C$17:$C$38,0)),FALSE()))</f>
        <v/>
      </c>
    </row>
    <row r="96" customFormat="false" ht="15" hidden="false" customHeight="false" outlineLevel="0" collapsed="false">
      <c r="B96" s="40"/>
      <c r="C96" s="41" t="str">
        <f aca="false">IF($B96="","",TEXT($B96,"ddd"))</f>
        <v/>
      </c>
      <c r="D96" s="42"/>
      <c r="E96" s="43" t="str">
        <f aca="false">IF($D96="","",IFERROR(INDEX('📆 Current Week'!$E$12:$E$33,MATCH($D96,'⚙️ Settings'!$C$17:$C$38,0))/7,""))</f>
        <v/>
      </c>
      <c r="F96" s="44"/>
      <c r="G96" s="42"/>
      <c r="H96" s="45" t="str">
        <f aca="false">IF($D96="","",IFERROR(INDEX('⚙️ Settings'!$G$17:$G$38,MATCH($D96,'⚙️ Settings'!$C$17:$C$38,0)),FALSE()))</f>
        <v/>
      </c>
    </row>
    <row r="97" customFormat="false" ht="15" hidden="false" customHeight="false" outlineLevel="0" collapsed="false">
      <c r="B97" s="40"/>
      <c r="C97" s="41" t="str">
        <f aca="false">IF($B97="","",TEXT($B97,"ddd"))</f>
        <v/>
      </c>
      <c r="D97" s="42"/>
      <c r="E97" s="43" t="str">
        <f aca="false">IF($D97="","",IFERROR(INDEX('📆 Current Week'!$E$12:$E$33,MATCH($D97,'⚙️ Settings'!$C$17:$C$38,0))/7,""))</f>
        <v/>
      </c>
      <c r="F97" s="44"/>
      <c r="G97" s="42"/>
      <c r="H97" s="45" t="str">
        <f aca="false">IF($D97="","",IFERROR(INDEX('⚙️ Settings'!$G$17:$G$38,MATCH($D97,'⚙️ Settings'!$C$17:$C$38,0)),FALSE()))</f>
        <v/>
      </c>
    </row>
    <row r="98" customFormat="false" ht="15" hidden="false" customHeight="false" outlineLevel="0" collapsed="false">
      <c r="B98" s="40"/>
      <c r="C98" s="41" t="str">
        <f aca="false">IF($B98="","",TEXT($B98,"ddd"))</f>
        <v/>
      </c>
      <c r="D98" s="42"/>
      <c r="E98" s="43" t="str">
        <f aca="false">IF($D98="","",IFERROR(INDEX('📆 Current Week'!$E$12:$E$33,MATCH($D98,'⚙️ Settings'!$C$17:$C$38,0))/7,""))</f>
        <v/>
      </c>
      <c r="F98" s="44"/>
      <c r="G98" s="42"/>
      <c r="H98" s="45" t="str">
        <f aca="false">IF($D98="","",IFERROR(INDEX('⚙️ Settings'!$G$17:$G$38,MATCH($D98,'⚙️ Settings'!$C$17:$C$38,0)),FALSE()))</f>
        <v/>
      </c>
    </row>
    <row r="99" customFormat="false" ht="15" hidden="false" customHeight="false" outlineLevel="0" collapsed="false">
      <c r="B99" s="40"/>
      <c r="C99" s="41" t="str">
        <f aca="false">IF($B99="","",TEXT($B99,"ddd"))</f>
        <v/>
      </c>
      <c r="D99" s="42"/>
      <c r="E99" s="43" t="str">
        <f aca="false">IF($D99="","",IFERROR(INDEX('📆 Current Week'!$E$12:$E$33,MATCH($D99,'⚙️ Settings'!$C$17:$C$38,0))/7,""))</f>
        <v/>
      </c>
      <c r="F99" s="44"/>
      <c r="G99" s="42"/>
      <c r="H99" s="45" t="str">
        <f aca="false">IF($D99="","",IFERROR(INDEX('⚙️ Settings'!$G$17:$G$38,MATCH($D99,'⚙️ Settings'!$C$17:$C$38,0)),FALSE()))</f>
        <v/>
      </c>
    </row>
    <row r="100" customFormat="false" ht="15" hidden="false" customHeight="false" outlineLevel="0" collapsed="false">
      <c r="B100" s="40"/>
      <c r="C100" s="41" t="str">
        <f aca="false">IF($B100="","",TEXT($B100,"ddd"))</f>
        <v/>
      </c>
      <c r="D100" s="42"/>
      <c r="E100" s="43" t="str">
        <f aca="false">IF($D100="","",IFERROR(INDEX('📆 Current Week'!$E$12:$E$33,MATCH($D100,'⚙️ Settings'!$C$17:$C$38,0))/7,""))</f>
        <v/>
      </c>
      <c r="F100" s="44"/>
      <c r="G100" s="42"/>
      <c r="H100" s="45" t="str">
        <f aca="false">IF($D100="","",IFERROR(INDEX('⚙️ Settings'!$G$17:$G$38,MATCH($D100,'⚙️ Settings'!$C$17:$C$38,0)),FALSE()))</f>
        <v/>
      </c>
    </row>
    <row r="101" customFormat="false" ht="15" hidden="false" customHeight="false" outlineLevel="0" collapsed="false">
      <c r="B101" s="40"/>
      <c r="C101" s="41" t="str">
        <f aca="false">IF($B101="","",TEXT($B101,"ddd"))</f>
        <v/>
      </c>
      <c r="D101" s="42"/>
      <c r="E101" s="43" t="str">
        <f aca="false">IF($D101="","",IFERROR(INDEX('📆 Current Week'!$E$12:$E$33,MATCH($D101,'⚙️ Settings'!$C$17:$C$38,0))/7,""))</f>
        <v/>
      </c>
      <c r="F101" s="44"/>
      <c r="G101" s="42"/>
      <c r="H101" s="45" t="str">
        <f aca="false">IF($D101="","",IFERROR(INDEX('⚙️ Settings'!$G$17:$G$38,MATCH($D101,'⚙️ Settings'!$C$17:$C$38,0)),FALSE()))</f>
        <v/>
      </c>
    </row>
    <row r="102" customFormat="false" ht="15" hidden="false" customHeight="false" outlineLevel="0" collapsed="false">
      <c r="B102" s="40"/>
      <c r="C102" s="41" t="str">
        <f aca="false">IF($B102="","",TEXT($B102,"ddd"))</f>
        <v/>
      </c>
      <c r="D102" s="42"/>
      <c r="E102" s="43" t="str">
        <f aca="false">IF($D102="","",IFERROR(INDEX('📆 Current Week'!$E$12:$E$33,MATCH($D102,'⚙️ Settings'!$C$17:$C$38,0))/7,""))</f>
        <v/>
      </c>
      <c r="F102" s="44"/>
      <c r="G102" s="42"/>
      <c r="H102" s="45" t="str">
        <f aca="false">IF($D102="","",IFERROR(INDEX('⚙️ Settings'!$G$17:$G$38,MATCH($D102,'⚙️ Settings'!$C$17:$C$38,0)),FALSE()))</f>
        <v/>
      </c>
    </row>
    <row r="103" customFormat="false" ht="15" hidden="false" customHeight="false" outlineLevel="0" collapsed="false">
      <c r="B103" s="40"/>
      <c r="C103" s="41" t="str">
        <f aca="false">IF($B103="","",TEXT($B103,"ddd"))</f>
        <v/>
      </c>
      <c r="D103" s="42"/>
      <c r="E103" s="43" t="str">
        <f aca="false">IF($D103="","",IFERROR(INDEX('📆 Current Week'!$E$12:$E$33,MATCH($D103,'⚙️ Settings'!$C$17:$C$38,0))/7,""))</f>
        <v/>
      </c>
      <c r="F103" s="44"/>
      <c r="G103" s="42"/>
      <c r="H103" s="45" t="str">
        <f aca="false">IF($D103="","",IFERROR(INDEX('⚙️ Settings'!$G$17:$G$38,MATCH($D103,'⚙️ Settings'!$C$17:$C$38,0)),FALSE()))</f>
        <v/>
      </c>
    </row>
    <row r="104" customFormat="false" ht="15" hidden="false" customHeight="false" outlineLevel="0" collapsed="false">
      <c r="B104" s="40"/>
      <c r="C104" s="41" t="str">
        <f aca="false">IF($B104="","",TEXT($B104,"ddd"))</f>
        <v/>
      </c>
      <c r="D104" s="42"/>
      <c r="E104" s="43" t="str">
        <f aca="false">IF($D104="","",IFERROR(INDEX('📆 Current Week'!$E$12:$E$33,MATCH($D104,'⚙️ Settings'!$C$17:$C$38,0))/7,""))</f>
        <v/>
      </c>
      <c r="F104" s="44"/>
      <c r="G104" s="42"/>
      <c r="H104" s="45" t="str">
        <f aca="false">IF($D104="","",IFERROR(INDEX('⚙️ Settings'!$G$17:$G$38,MATCH($D104,'⚙️ Settings'!$C$17:$C$38,0)),FALSE()))</f>
        <v/>
      </c>
    </row>
    <row r="105" customFormat="false" ht="15" hidden="false" customHeight="false" outlineLevel="0" collapsed="false">
      <c r="B105" s="40"/>
      <c r="C105" s="41" t="str">
        <f aca="false">IF($B105="","",TEXT($B105,"ddd"))</f>
        <v/>
      </c>
      <c r="D105" s="42"/>
      <c r="E105" s="43" t="str">
        <f aca="false">IF($D105="","",IFERROR(INDEX('📆 Current Week'!$E$12:$E$33,MATCH($D105,'⚙️ Settings'!$C$17:$C$38,0))/7,""))</f>
        <v/>
      </c>
      <c r="F105" s="44"/>
      <c r="G105" s="42"/>
      <c r="H105" s="45" t="str">
        <f aca="false">IF($D105="","",IFERROR(INDEX('⚙️ Settings'!$G$17:$G$38,MATCH($D105,'⚙️ Settings'!$C$17:$C$38,0)),FALSE()))</f>
        <v/>
      </c>
    </row>
    <row r="106" customFormat="false" ht="15" hidden="false" customHeight="false" outlineLevel="0" collapsed="false">
      <c r="B106" s="40"/>
      <c r="C106" s="41" t="str">
        <f aca="false">IF($B106="","",TEXT($B106,"ddd"))</f>
        <v/>
      </c>
      <c r="D106" s="42"/>
      <c r="E106" s="43" t="str">
        <f aca="false">IF($D106="","",IFERROR(INDEX('📆 Current Week'!$E$12:$E$33,MATCH($D106,'⚙️ Settings'!$C$17:$C$38,0))/7,""))</f>
        <v/>
      </c>
      <c r="F106" s="44"/>
      <c r="G106" s="42"/>
      <c r="H106" s="45" t="str">
        <f aca="false">IF($D106="","",IFERROR(INDEX('⚙️ Settings'!$G$17:$G$38,MATCH($D106,'⚙️ Settings'!$C$17:$C$38,0)),FALSE()))</f>
        <v/>
      </c>
    </row>
    <row r="107" customFormat="false" ht="15" hidden="false" customHeight="false" outlineLevel="0" collapsed="false">
      <c r="B107" s="40"/>
      <c r="C107" s="41" t="str">
        <f aca="false">IF($B107="","",TEXT($B107,"ddd"))</f>
        <v/>
      </c>
      <c r="D107" s="42"/>
      <c r="E107" s="43" t="str">
        <f aca="false">IF($D107="","",IFERROR(INDEX('📆 Current Week'!$E$12:$E$33,MATCH($D107,'⚙️ Settings'!$C$17:$C$38,0))/7,""))</f>
        <v/>
      </c>
      <c r="F107" s="44"/>
      <c r="G107" s="42"/>
      <c r="H107" s="45" t="str">
        <f aca="false">IF($D107="","",IFERROR(INDEX('⚙️ Settings'!$G$17:$G$38,MATCH($D107,'⚙️ Settings'!$C$17:$C$38,0)),FALSE()))</f>
        <v/>
      </c>
    </row>
    <row r="108" customFormat="false" ht="15" hidden="false" customHeight="false" outlineLevel="0" collapsed="false">
      <c r="B108" s="40"/>
      <c r="C108" s="41" t="str">
        <f aca="false">IF($B108="","",TEXT($B108,"ddd"))</f>
        <v/>
      </c>
      <c r="D108" s="42"/>
      <c r="E108" s="43" t="str">
        <f aca="false">IF($D108="","",IFERROR(INDEX('📆 Current Week'!$E$12:$E$33,MATCH($D108,'⚙️ Settings'!$C$17:$C$38,0))/7,""))</f>
        <v/>
      </c>
      <c r="F108" s="44"/>
      <c r="G108" s="42"/>
      <c r="H108" s="45" t="str">
        <f aca="false">IF($D108="","",IFERROR(INDEX('⚙️ Settings'!$G$17:$G$38,MATCH($D108,'⚙️ Settings'!$C$17:$C$38,0)),FALSE()))</f>
        <v/>
      </c>
    </row>
    <row r="109" customFormat="false" ht="15" hidden="false" customHeight="false" outlineLevel="0" collapsed="false">
      <c r="B109" s="40"/>
      <c r="C109" s="41" t="str">
        <f aca="false">IF($B109="","",TEXT($B109,"ddd"))</f>
        <v/>
      </c>
      <c r="D109" s="42"/>
      <c r="E109" s="43" t="str">
        <f aca="false">IF($D109="","",IFERROR(INDEX('📆 Current Week'!$E$12:$E$33,MATCH($D109,'⚙️ Settings'!$C$17:$C$38,0))/7,""))</f>
        <v/>
      </c>
      <c r="F109" s="44"/>
      <c r="G109" s="42"/>
      <c r="H109" s="45" t="str">
        <f aca="false">IF($D109="","",IFERROR(INDEX('⚙️ Settings'!$G$17:$G$38,MATCH($D109,'⚙️ Settings'!$C$17:$C$38,0)),FALSE()))</f>
        <v/>
      </c>
    </row>
    <row r="110" customFormat="false" ht="15" hidden="false" customHeight="false" outlineLevel="0" collapsed="false">
      <c r="B110" s="40"/>
      <c r="C110" s="41" t="str">
        <f aca="false">IF($B110="","",TEXT($B110,"ddd"))</f>
        <v/>
      </c>
      <c r="D110" s="42"/>
      <c r="E110" s="43" t="str">
        <f aca="false">IF($D110="","",IFERROR(INDEX('📆 Current Week'!$E$12:$E$33,MATCH($D110,'⚙️ Settings'!$C$17:$C$38,0))/7,""))</f>
        <v/>
      </c>
      <c r="F110" s="44"/>
      <c r="G110" s="42"/>
      <c r="H110" s="45" t="str">
        <f aca="false">IF($D110="","",IFERROR(INDEX('⚙️ Settings'!$G$17:$G$38,MATCH($D110,'⚙️ Settings'!$C$17:$C$38,0)),FALSE()))</f>
        <v/>
      </c>
    </row>
    <row r="111" customFormat="false" ht="15" hidden="false" customHeight="false" outlineLevel="0" collapsed="false">
      <c r="B111" s="40"/>
      <c r="C111" s="41" t="str">
        <f aca="false">IF($B111="","",TEXT($B111,"ddd"))</f>
        <v/>
      </c>
      <c r="D111" s="42"/>
      <c r="E111" s="43" t="str">
        <f aca="false">IF($D111="","",IFERROR(INDEX('📆 Current Week'!$E$12:$E$33,MATCH($D111,'⚙️ Settings'!$C$17:$C$38,0))/7,""))</f>
        <v/>
      </c>
      <c r="F111" s="44"/>
      <c r="G111" s="42"/>
      <c r="H111" s="45" t="str">
        <f aca="false">IF($D111="","",IFERROR(INDEX('⚙️ Settings'!$G$17:$G$38,MATCH($D111,'⚙️ Settings'!$C$17:$C$38,0)),FALSE()))</f>
        <v/>
      </c>
    </row>
    <row r="112" customFormat="false" ht="15" hidden="false" customHeight="false" outlineLevel="0" collapsed="false">
      <c r="B112" s="40"/>
      <c r="C112" s="41" t="str">
        <f aca="false">IF($B112="","",TEXT($B112,"ddd"))</f>
        <v/>
      </c>
      <c r="D112" s="42"/>
      <c r="E112" s="43" t="str">
        <f aca="false">IF($D112="","",IFERROR(INDEX('📆 Current Week'!$E$12:$E$33,MATCH($D112,'⚙️ Settings'!$C$17:$C$38,0))/7,""))</f>
        <v/>
      </c>
      <c r="F112" s="44"/>
      <c r="G112" s="42"/>
      <c r="H112" s="45" t="str">
        <f aca="false">IF($D112="","",IFERROR(INDEX('⚙️ Settings'!$G$17:$G$38,MATCH($D112,'⚙️ Settings'!$C$17:$C$38,0)),FALSE()))</f>
        <v/>
      </c>
    </row>
    <row r="113" customFormat="false" ht="15" hidden="false" customHeight="false" outlineLevel="0" collapsed="false">
      <c r="B113" s="40"/>
      <c r="C113" s="41" t="str">
        <f aca="false">IF($B113="","",TEXT($B113,"ddd"))</f>
        <v/>
      </c>
      <c r="D113" s="42"/>
      <c r="E113" s="43" t="str">
        <f aca="false">IF($D113="","",IFERROR(INDEX('📆 Current Week'!$E$12:$E$33,MATCH($D113,'⚙️ Settings'!$C$17:$C$38,0))/7,""))</f>
        <v/>
      </c>
      <c r="F113" s="44"/>
      <c r="G113" s="42"/>
      <c r="H113" s="45" t="str">
        <f aca="false">IF($D113="","",IFERROR(INDEX('⚙️ Settings'!$G$17:$G$38,MATCH($D113,'⚙️ Settings'!$C$17:$C$38,0)),FALSE()))</f>
        <v/>
      </c>
    </row>
    <row r="114" customFormat="false" ht="15" hidden="false" customHeight="false" outlineLevel="0" collapsed="false">
      <c r="B114" s="40"/>
      <c r="C114" s="41" t="str">
        <f aca="false">IF($B114="","",TEXT($B114,"ddd"))</f>
        <v/>
      </c>
      <c r="D114" s="42"/>
      <c r="E114" s="43" t="str">
        <f aca="false">IF($D114="","",IFERROR(INDEX('📆 Current Week'!$E$12:$E$33,MATCH($D114,'⚙️ Settings'!$C$17:$C$38,0))/7,""))</f>
        <v/>
      </c>
      <c r="F114" s="44"/>
      <c r="G114" s="42"/>
      <c r="H114" s="45" t="str">
        <f aca="false">IF($D114="","",IFERROR(INDEX('⚙️ Settings'!$G$17:$G$38,MATCH($D114,'⚙️ Settings'!$C$17:$C$38,0)),FALSE()))</f>
        <v/>
      </c>
    </row>
    <row r="115" customFormat="false" ht="15" hidden="false" customHeight="false" outlineLevel="0" collapsed="false">
      <c r="B115" s="40"/>
      <c r="C115" s="41" t="str">
        <f aca="false">IF($B115="","",TEXT($B115,"ddd"))</f>
        <v/>
      </c>
      <c r="D115" s="42"/>
      <c r="E115" s="43" t="str">
        <f aca="false">IF($D115="","",IFERROR(INDEX('📆 Current Week'!$E$12:$E$33,MATCH($D115,'⚙️ Settings'!$C$17:$C$38,0))/7,""))</f>
        <v/>
      </c>
      <c r="F115" s="44"/>
      <c r="G115" s="42"/>
      <c r="H115" s="45" t="str">
        <f aca="false">IF($D115="","",IFERROR(INDEX('⚙️ Settings'!$G$17:$G$38,MATCH($D115,'⚙️ Settings'!$C$17:$C$38,0)),FALSE()))</f>
        <v/>
      </c>
    </row>
    <row r="116" customFormat="false" ht="15" hidden="false" customHeight="false" outlineLevel="0" collapsed="false">
      <c r="B116" s="40"/>
      <c r="C116" s="41" t="str">
        <f aca="false">IF($B116="","",TEXT($B116,"ddd"))</f>
        <v/>
      </c>
      <c r="D116" s="42"/>
      <c r="E116" s="43" t="str">
        <f aca="false">IF($D116="","",IFERROR(INDEX('📆 Current Week'!$E$12:$E$33,MATCH($D116,'⚙️ Settings'!$C$17:$C$38,0))/7,""))</f>
        <v/>
      </c>
      <c r="F116" s="44"/>
      <c r="G116" s="42"/>
      <c r="H116" s="45" t="str">
        <f aca="false">IF($D116="","",IFERROR(INDEX('⚙️ Settings'!$G$17:$G$38,MATCH($D116,'⚙️ Settings'!$C$17:$C$38,0)),FALSE()))</f>
        <v/>
      </c>
    </row>
    <row r="117" customFormat="false" ht="15" hidden="false" customHeight="false" outlineLevel="0" collapsed="false">
      <c r="B117" s="40"/>
      <c r="C117" s="41" t="str">
        <f aca="false">IF($B117="","",TEXT($B117,"ddd"))</f>
        <v/>
      </c>
      <c r="D117" s="42"/>
      <c r="E117" s="43" t="str">
        <f aca="false">IF($D117="","",IFERROR(INDEX('📆 Current Week'!$E$12:$E$33,MATCH($D117,'⚙️ Settings'!$C$17:$C$38,0))/7,""))</f>
        <v/>
      </c>
      <c r="F117" s="44"/>
      <c r="G117" s="42"/>
      <c r="H117" s="45" t="str">
        <f aca="false">IF($D117="","",IFERROR(INDEX('⚙️ Settings'!$G$17:$G$38,MATCH($D117,'⚙️ Settings'!$C$17:$C$38,0)),FALSE()))</f>
        <v/>
      </c>
    </row>
    <row r="118" customFormat="false" ht="15" hidden="false" customHeight="false" outlineLevel="0" collapsed="false">
      <c r="B118" s="40"/>
      <c r="C118" s="41" t="str">
        <f aca="false">IF($B118="","",TEXT($B118,"ddd"))</f>
        <v/>
      </c>
      <c r="D118" s="42"/>
      <c r="E118" s="43" t="str">
        <f aca="false">IF($D118="","",IFERROR(INDEX('📆 Current Week'!$E$12:$E$33,MATCH($D118,'⚙️ Settings'!$C$17:$C$38,0))/7,""))</f>
        <v/>
      </c>
      <c r="F118" s="44"/>
      <c r="G118" s="42"/>
      <c r="H118" s="45" t="str">
        <f aca="false">IF($D118="","",IFERROR(INDEX('⚙️ Settings'!$G$17:$G$38,MATCH($D118,'⚙️ Settings'!$C$17:$C$38,0)),FALSE()))</f>
        <v/>
      </c>
    </row>
    <row r="119" customFormat="false" ht="15" hidden="false" customHeight="false" outlineLevel="0" collapsed="false">
      <c r="B119" s="40"/>
      <c r="C119" s="41" t="str">
        <f aca="false">IF($B119="","",TEXT($B119,"ddd"))</f>
        <v/>
      </c>
      <c r="D119" s="42"/>
      <c r="E119" s="43" t="str">
        <f aca="false">IF($D119="","",IFERROR(INDEX('📆 Current Week'!$E$12:$E$33,MATCH($D119,'⚙️ Settings'!$C$17:$C$38,0))/7,""))</f>
        <v/>
      </c>
      <c r="F119" s="44"/>
      <c r="G119" s="42"/>
      <c r="H119" s="45" t="str">
        <f aca="false">IF($D119="","",IFERROR(INDEX('⚙️ Settings'!$G$17:$G$38,MATCH($D119,'⚙️ Settings'!$C$17:$C$38,0)),FALSE()))</f>
        <v/>
      </c>
    </row>
    <row r="120" customFormat="false" ht="15" hidden="false" customHeight="false" outlineLevel="0" collapsed="false">
      <c r="B120" s="40"/>
      <c r="C120" s="41" t="str">
        <f aca="false">IF($B120="","",TEXT($B120,"ddd"))</f>
        <v/>
      </c>
      <c r="D120" s="42"/>
      <c r="E120" s="43" t="str">
        <f aca="false">IF($D120="","",IFERROR(INDEX('📆 Current Week'!$E$12:$E$33,MATCH($D120,'⚙️ Settings'!$C$17:$C$38,0))/7,""))</f>
        <v/>
      </c>
      <c r="F120" s="44"/>
      <c r="G120" s="42"/>
      <c r="H120" s="45" t="str">
        <f aca="false">IF($D120="","",IFERROR(INDEX('⚙️ Settings'!$G$17:$G$38,MATCH($D120,'⚙️ Settings'!$C$17:$C$38,0)),FALSE()))</f>
        <v/>
      </c>
    </row>
    <row r="121" customFormat="false" ht="15" hidden="false" customHeight="false" outlineLevel="0" collapsed="false">
      <c r="B121" s="40"/>
      <c r="C121" s="41" t="str">
        <f aca="false">IF($B121="","",TEXT($B121,"ddd"))</f>
        <v/>
      </c>
      <c r="D121" s="42"/>
      <c r="E121" s="43" t="str">
        <f aca="false">IF($D121="","",IFERROR(INDEX('📆 Current Week'!$E$12:$E$33,MATCH($D121,'⚙️ Settings'!$C$17:$C$38,0))/7,""))</f>
        <v/>
      </c>
      <c r="F121" s="44"/>
      <c r="G121" s="42"/>
      <c r="H121" s="45" t="str">
        <f aca="false">IF($D121="","",IFERROR(INDEX('⚙️ Settings'!$G$17:$G$38,MATCH($D121,'⚙️ Settings'!$C$17:$C$38,0)),FALSE()))</f>
        <v/>
      </c>
    </row>
    <row r="122" customFormat="false" ht="15" hidden="false" customHeight="false" outlineLevel="0" collapsed="false">
      <c r="B122" s="40"/>
      <c r="C122" s="41" t="str">
        <f aca="false">IF($B122="","",TEXT($B122,"ddd"))</f>
        <v/>
      </c>
      <c r="D122" s="42"/>
      <c r="E122" s="43" t="str">
        <f aca="false">IF($D122="","",IFERROR(INDEX('📆 Current Week'!$E$12:$E$33,MATCH($D122,'⚙️ Settings'!$C$17:$C$38,0))/7,""))</f>
        <v/>
      </c>
      <c r="F122" s="44"/>
      <c r="G122" s="42"/>
      <c r="H122" s="45" t="str">
        <f aca="false">IF($D122="","",IFERROR(INDEX('⚙️ Settings'!$G$17:$G$38,MATCH($D122,'⚙️ Settings'!$C$17:$C$38,0)),FALSE()))</f>
        <v/>
      </c>
    </row>
    <row r="123" customFormat="false" ht="15" hidden="false" customHeight="false" outlineLevel="0" collapsed="false">
      <c r="B123" s="40"/>
      <c r="C123" s="41" t="str">
        <f aca="false">IF($B123="","",TEXT($B123,"ddd"))</f>
        <v/>
      </c>
      <c r="D123" s="42"/>
      <c r="E123" s="43" t="str">
        <f aca="false">IF($D123="","",IFERROR(INDEX('📆 Current Week'!$E$12:$E$33,MATCH($D123,'⚙️ Settings'!$C$17:$C$38,0))/7,""))</f>
        <v/>
      </c>
      <c r="F123" s="44"/>
      <c r="G123" s="42"/>
      <c r="H123" s="45" t="str">
        <f aca="false">IF($D123="","",IFERROR(INDEX('⚙️ Settings'!$G$17:$G$38,MATCH($D123,'⚙️ Settings'!$C$17:$C$38,0)),FALSE()))</f>
        <v/>
      </c>
    </row>
    <row r="124" customFormat="false" ht="15" hidden="false" customHeight="false" outlineLevel="0" collapsed="false">
      <c r="B124" s="40"/>
      <c r="C124" s="41" t="str">
        <f aca="false">IF($B124="","",TEXT($B124,"ddd"))</f>
        <v/>
      </c>
      <c r="D124" s="42"/>
      <c r="E124" s="43" t="str">
        <f aca="false">IF($D124="","",IFERROR(INDEX('📆 Current Week'!$E$12:$E$33,MATCH($D124,'⚙️ Settings'!$C$17:$C$38,0))/7,""))</f>
        <v/>
      </c>
      <c r="F124" s="44"/>
      <c r="G124" s="42"/>
      <c r="H124" s="45" t="str">
        <f aca="false">IF($D124="","",IFERROR(INDEX('⚙️ Settings'!$G$17:$G$38,MATCH($D124,'⚙️ Settings'!$C$17:$C$38,0)),FALSE()))</f>
        <v/>
      </c>
    </row>
    <row r="125" customFormat="false" ht="15" hidden="false" customHeight="false" outlineLevel="0" collapsed="false">
      <c r="B125" s="40"/>
      <c r="C125" s="41" t="str">
        <f aca="false">IF($B125="","",TEXT($B125,"ddd"))</f>
        <v/>
      </c>
      <c r="D125" s="42"/>
      <c r="E125" s="43" t="str">
        <f aca="false">IF($D125="","",IFERROR(INDEX('📆 Current Week'!$E$12:$E$33,MATCH($D125,'⚙️ Settings'!$C$17:$C$38,0))/7,""))</f>
        <v/>
      </c>
      <c r="F125" s="44"/>
      <c r="G125" s="42"/>
      <c r="H125" s="45" t="str">
        <f aca="false">IF($D125="","",IFERROR(INDEX('⚙️ Settings'!$G$17:$G$38,MATCH($D125,'⚙️ Settings'!$C$17:$C$38,0)),FALSE()))</f>
        <v/>
      </c>
    </row>
    <row r="126" customFormat="false" ht="15" hidden="false" customHeight="false" outlineLevel="0" collapsed="false">
      <c r="B126" s="40"/>
      <c r="C126" s="41" t="str">
        <f aca="false">IF($B126="","",TEXT($B126,"ddd"))</f>
        <v/>
      </c>
      <c r="D126" s="42"/>
      <c r="E126" s="43" t="str">
        <f aca="false">IF($D126="","",IFERROR(INDEX('📆 Current Week'!$E$12:$E$33,MATCH($D126,'⚙️ Settings'!$C$17:$C$38,0))/7,""))</f>
        <v/>
      </c>
      <c r="F126" s="44"/>
      <c r="G126" s="42"/>
      <c r="H126" s="45" t="str">
        <f aca="false">IF($D126="","",IFERROR(INDEX('⚙️ Settings'!$G$17:$G$38,MATCH($D126,'⚙️ Settings'!$C$17:$C$38,0)),FALSE()))</f>
        <v/>
      </c>
    </row>
    <row r="127" customFormat="false" ht="15" hidden="false" customHeight="false" outlineLevel="0" collapsed="false">
      <c r="B127" s="40"/>
      <c r="C127" s="41" t="str">
        <f aca="false">IF($B127="","",TEXT($B127,"ddd"))</f>
        <v/>
      </c>
      <c r="D127" s="42"/>
      <c r="E127" s="43" t="str">
        <f aca="false">IF($D127="","",IFERROR(INDEX('📆 Current Week'!$E$12:$E$33,MATCH($D127,'⚙️ Settings'!$C$17:$C$38,0))/7,""))</f>
        <v/>
      </c>
      <c r="F127" s="44"/>
      <c r="G127" s="42"/>
      <c r="H127" s="45" t="str">
        <f aca="false">IF($D127="","",IFERROR(INDEX('⚙️ Settings'!$G$17:$G$38,MATCH($D127,'⚙️ Settings'!$C$17:$C$38,0)),FALSE()))</f>
        <v/>
      </c>
    </row>
    <row r="128" customFormat="false" ht="15" hidden="false" customHeight="false" outlineLevel="0" collapsed="false">
      <c r="B128" s="40"/>
      <c r="C128" s="41" t="str">
        <f aca="false">IF($B128="","",TEXT($B128,"ddd"))</f>
        <v/>
      </c>
      <c r="D128" s="42"/>
      <c r="E128" s="43" t="str">
        <f aca="false">IF($D128="","",IFERROR(INDEX('📆 Current Week'!$E$12:$E$33,MATCH($D128,'⚙️ Settings'!$C$17:$C$38,0))/7,""))</f>
        <v/>
      </c>
      <c r="F128" s="44"/>
      <c r="G128" s="42"/>
      <c r="H128" s="45" t="str">
        <f aca="false">IF($D128="","",IFERROR(INDEX('⚙️ Settings'!$G$17:$G$38,MATCH($D128,'⚙️ Settings'!$C$17:$C$38,0)),FALSE()))</f>
        <v/>
      </c>
    </row>
    <row r="129" customFormat="false" ht="15" hidden="false" customHeight="false" outlineLevel="0" collapsed="false">
      <c r="B129" s="40"/>
      <c r="C129" s="41" t="str">
        <f aca="false">IF($B129="","",TEXT($B129,"ddd"))</f>
        <v/>
      </c>
      <c r="D129" s="42"/>
      <c r="E129" s="43" t="str">
        <f aca="false">IF($D129="","",IFERROR(INDEX('📆 Current Week'!$E$12:$E$33,MATCH($D129,'⚙️ Settings'!$C$17:$C$38,0))/7,""))</f>
        <v/>
      </c>
      <c r="F129" s="44"/>
      <c r="G129" s="42"/>
      <c r="H129" s="45" t="str">
        <f aca="false">IF($D129="","",IFERROR(INDEX('⚙️ Settings'!$G$17:$G$38,MATCH($D129,'⚙️ Settings'!$C$17:$C$38,0)),FALSE()))</f>
        <v/>
      </c>
    </row>
    <row r="130" customFormat="false" ht="15" hidden="false" customHeight="false" outlineLevel="0" collapsed="false">
      <c r="B130" s="40"/>
      <c r="C130" s="41" t="str">
        <f aca="false">IF($B130="","",TEXT($B130,"ddd"))</f>
        <v/>
      </c>
      <c r="D130" s="42"/>
      <c r="E130" s="43" t="str">
        <f aca="false">IF($D130="","",IFERROR(INDEX('📆 Current Week'!$E$12:$E$33,MATCH($D130,'⚙️ Settings'!$C$17:$C$38,0))/7,""))</f>
        <v/>
      </c>
      <c r="F130" s="44"/>
      <c r="G130" s="42"/>
      <c r="H130" s="45" t="str">
        <f aca="false">IF($D130="","",IFERROR(INDEX('⚙️ Settings'!$G$17:$G$38,MATCH($D130,'⚙️ Settings'!$C$17:$C$38,0)),FALSE()))</f>
        <v/>
      </c>
    </row>
    <row r="131" customFormat="false" ht="15" hidden="false" customHeight="false" outlineLevel="0" collapsed="false">
      <c r="B131" s="40"/>
      <c r="C131" s="41" t="str">
        <f aca="false">IF($B131="","",TEXT($B131,"ddd"))</f>
        <v/>
      </c>
      <c r="D131" s="42"/>
      <c r="E131" s="43" t="str">
        <f aca="false">IF($D131="","",IFERROR(INDEX('📆 Current Week'!$E$12:$E$33,MATCH($D131,'⚙️ Settings'!$C$17:$C$38,0))/7,""))</f>
        <v/>
      </c>
      <c r="F131" s="44"/>
      <c r="G131" s="42"/>
      <c r="H131" s="45" t="str">
        <f aca="false">IF($D131="","",IFERROR(INDEX('⚙️ Settings'!$G$17:$G$38,MATCH($D131,'⚙️ Settings'!$C$17:$C$38,0)),FALSE()))</f>
        <v/>
      </c>
    </row>
    <row r="132" customFormat="false" ht="15" hidden="false" customHeight="false" outlineLevel="0" collapsed="false">
      <c r="B132" s="40"/>
      <c r="C132" s="41" t="str">
        <f aca="false">IF($B132="","",TEXT($B132,"ddd"))</f>
        <v/>
      </c>
      <c r="D132" s="42"/>
      <c r="E132" s="43" t="str">
        <f aca="false">IF($D132="","",IFERROR(INDEX('📆 Current Week'!$E$12:$E$33,MATCH($D132,'⚙️ Settings'!$C$17:$C$38,0))/7,""))</f>
        <v/>
      </c>
      <c r="F132" s="44"/>
      <c r="G132" s="42"/>
      <c r="H132" s="45" t="str">
        <f aca="false">IF($D132="","",IFERROR(INDEX('⚙️ Settings'!$G$17:$G$38,MATCH($D132,'⚙️ Settings'!$C$17:$C$38,0)),FALSE()))</f>
        <v/>
      </c>
    </row>
    <row r="133" customFormat="false" ht="15" hidden="false" customHeight="false" outlineLevel="0" collapsed="false">
      <c r="B133" s="40"/>
      <c r="C133" s="41" t="str">
        <f aca="false">IF($B133="","",TEXT($B133,"ddd"))</f>
        <v/>
      </c>
      <c r="D133" s="42"/>
      <c r="E133" s="43" t="str">
        <f aca="false">IF($D133="","",IFERROR(INDEX('📆 Current Week'!$E$12:$E$33,MATCH($D133,'⚙️ Settings'!$C$17:$C$38,0))/7,""))</f>
        <v/>
      </c>
      <c r="F133" s="44"/>
      <c r="G133" s="42"/>
      <c r="H133" s="45" t="str">
        <f aca="false">IF($D133="","",IFERROR(INDEX('⚙️ Settings'!$G$17:$G$38,MATCH($D133,'⚙️ Settings'!$C$17:$C$38,0)),FALSE()))</f>
        <v/>
      </c>
    </row>
    <row r="134" customFormat="false" ht="15" hidden="false" customHeight="false" outlineLevel="0" collapsed="false">
      <c r="B134" s="40"/>
      <c r="C134" s="41" t="str">
        <f aca="false">IF($B134="","",TEXT($B134,"ddd"))</f>
        <v/>
      </c>
      <c r="D134" s="42"/>
      <c r="E134" s="43" t="str">
        <f aca="false">IF($D134="","",IFERROR(INDEX('📆 Current Week'!$E$12:$E$33,MATCH($D134,'⚙️ Settings'!$C$17:$C$38,0))/7,""))</f>
        <v/>
      </c>
      <c r="F134" s="44"/>
      <c r="G134" s="42"/>
      <c r="H134" s="45" t="str">
        <f aca="false">IF($D134="","",IFERROR(INDEX('⚙️ Settings'!$G$17:$G$38,MATCH($D134,'⚙️ Settings'!$C$17:$C$38,0)),FALSE()))</f>
        <v/>
      </c>
    </row>
    <row r="135" customFormat="false" ht="15" hidden="false" customHeight="false" outlineLevel="0" collapsed="false">
      <c r="B135" s="40"/>
      <c r="C135" s="41" t="str">
        <f aca="false">IF($B135="","",TEXT($B135,"ddd"))</f>
        <v/>
      </c>
      <c r="D135" s="42"/>
      <c r="E135" s="43" t="str">
        <f aca="false">IF($D135="","",IFERROR(INDEX('📆 Current Week'!$E$12:$E$33,MATCH($D135,'⚙️ Settings'!$C$17:$C$38,0))/7,""))</f>
        <v/>
      </c>
      <c r="F135" s="44"/>
      <c r="G135" s="42"/>
      <c r="H135" s="45" t="str">
        <f aca="false">IF($D135="","",IFERROR(INDEX('⚙️ Settings'!$G$17:$G$38,MATCH($D135,'⚙️ Settings'!$C$17:$C$38,0)),FALSE()))</f>
        <v/>
      </c>
    </row>
    <row r="136" customFormat="false" ht="15" hidden="false" customHeight="false" outlineLevel="0" collapsed="false">
      <c r="B136" s="40"/>
      <c r="C136" s="41" t="str">
        <f aca="false">IF($B136="","",TEXT($B136,"ddd"))</f>
        <v/>
      </c>
      <c r="D136" s="42"/>
      <c r="E136" s="43" t="str">
        <f aca="false">IF($D136="","",IFERROR(INDEX('📆 Current Week'!$E$12:$E$33,MATCH($D136,'⚙️ Settings'!$C$17:$C$38,0))/7,""))</f>
        <v/>
      </c>
      <c r="F136" s="44"/>
      <c r="G136" s="42"/>
      <c r="H136" s="45" t="str">
        <f aca="false">IF($D136="","",IFERROR(INDEX('⚙️ Settings'!$G$17:$G$38,MATCH($D136,'⚙️ Settings'!$C$17:$C$38,0)),FALSE()))</f>
        <v/>
      </c>
    </row>
    <row r="137" customFormat="false" ht="15" hidden="false" customHeight="false" outlineLevel="0" collapsed="false">
      <c r="B137" s="40"/>
      <c r="C137" s="41" t="str">
        <f aca="false">IF($B137="","",TEXT($B137,"ddd"))</f>
        <v/>
      </c>
      <c r="D137" s="42"/>
      <c r="E137" s="43" t="str">
        <f aca="false">IF($D137="","",IFERROR(INDEX('📆 Current Week'!$E$12:$E$33,MATCH($D137,'⚙️ Settings'!$C$17:$C$38,0))/7,""))</f>
        <v/>
      </c>
      <c r="F137" s="44"/>
      <c r="G137" s="42"/>
      <c r="H137" s="45" t="str">
        <f aca="false">IF($D137="","",IFERROR(INDEX('⚙️ Settings'!$G$17:$G$38,MATCH($D137,'⚙️ Settings'!$C$17:$C$38,0)),FALSE()))</f>
        <v/>
      </c>
    </row>
    <row r="138" customFormat="false" ht="15" hidden="false" customHeight="false" outlineLevel="0" collapsed="false">
      <c r="B138" s="40"/>
      <c r="C138" s="41" t="str">
        <f aca="false">IF($B138="","",TEXT($B138,"ddd"))</f>
        <v/>
      </c>
      <c r="D138" s="42"/>
      <c r="E138" s="43" t="str">
        <f aca="false">IF($D138="","",IFERROR(INDEX('📆 Current Week'!$E$12:$E$33,MATCH($D138,'⚙️ Settings'!$C$17:$C$38,0))/7,""))</f>
        <v/>
      </c>
      <c r="F138" s="44"/>
      <c r="G138" s="42"/>
      <c r="H138" s="45" t="str">
        <f aca="false">IF($D138="","",IFERROR(INDEX('⚙️ Settings'!$G$17:$G$38,MATCH($D138,'⚙️ Settings'!$C$17:$C$38,0)),FALSE()))</f>
        <v/>
      </c>
    </row>
    <row r="139" customFormat="false" ht="15" hidden="false" customHeight="false" outlineLevel="0" collapsed="false">
      <c r="B139" s="40"/>
      <c r="C139" s="41" t="str">
        <f aca="false">IF($B139="","",TEXT($B139,"ddd"))</f>
        <v/>
      </c>
      <c r="D139" s="42"/>
      <c r="E139" s="43" t="str">
        <f aca="false">IF($D139="","",IFERROR(INDEX('📆 Current Week'!$E$12:$E$33,MATCH($D139,'⚙️ Settings'!$C$17:$C$38,0))/7,""))</f>
        <v/>
      </c>
      <c r="F139" s="44"/>
      <c r="G139" s="42"/>
      <c r="H139" s="45" t="str">
        <f aca="false">IF($D139="","",IFERROR(INDEX('⚙️ Settings'!$G$17:$G$38,MATCH($D139,'⚙️ Settings'!$C$17:$C$38,0)),FALSE()))</f>
        <v/>
      </c>
    </row>
    <row r="140" customFormat="false" ht="15" hidden="false" customHeight="false" outlineLevel="0" collapsed="false">
      <c r="B140" s="40"/>
      <c r="C140" s="41" t="str">
        <f aca="false">IF($B140="","",TEXT($B140,"ddd"))</f>
        <v/>
      </c>
      <c r="D140" s="42"/>
      <c r="E140" s="43" t="str">
        <f aca="false">IF($D140="","",IFERROR(INDEX('📆 Current Week'!$E$12:$E$33,MATCH($D140,'⚙️ Settings'!$C$17:$C$38,0))/7,""))</f>
        <v/>
      </c>
      <c r="F140" s="44"/>
      <c r="G140" s="42"/>
      <c r="H140" s="45" t="str">
        <f aca="false">IF($D140="","",IFERROR(INDEX('⚙️ Settings'!$G$17:$G$38,MATCH($D140,'⚙️ Settings'!$C$17:$C$38,0)),FALSE()))</f>
        <v/>
      </c>
    </row>
    <row r="141" customFormat="false" ht="15" hidden="false" customHeight="false" outlineLevel="0" collapsed="false">
      <c r="B141" s="40"/>
      <c r="C141" s="41" t="str">
        <f aca="false">IF($B141="","",TEXT($B141,"ddd"))</f>
        <v/>
      </c>
      <c r="D141" s="42"/>
      <c r="E141" s="43" t="str">
        <f aca="false">IF($D141="","",IFERROR(INDEX('📆 Current Week'!$E$12:$E$33,MATCH($D141,'⚙️ Settings'!$C$17:$C$38,0))/7,""))</f>
        <v/>
      </c>
      <c r="F141" s="44"/>
      <c r="G141" s="42"/>
      <c r="H141" s="45" t="str">
        <f aca="false">IF($D141="","",IFERROR(INDEX('⚙️ Settings'!$G$17:$G$38,MATCH($D141,'⚙️ Settings'!$C$17:$C$38,0)),FALSE()))</f>
        <v/>
      </c>
    </row>
    <row r="142" customFormat="false" ht="15" hidden="false" customHeight="false" outlineLevel="0" collapsed="false">
      <c r="B142" s="40"/>
      <c r="C142" s="41" t="str">
        <f aca="false">IF($B142="","",TEXT($B142,"ddd"))</f>
        <v/>
      </c>
      <c r="D142" s="42"/>
      <c r="E142" s="43" t="str">
        <f aca="false">IF($D142="","",IFERROR(INDEX('📆 Current Week'!$E$12:$E$33,MATCH($D142,'⚙️ Settings'!$C$17:$C$38,0))/7,""))</f>
        <v/>
      </c>
      <c r="F142" s="44"/>
      <c r="G142" s="42"/>
      <c r="H142" s="45" t="str">
        <f aca="false">IF($D142="","",IFERROR(INDEX('⚙️ Settings'!$G$17:$G$38,MATCH($D142,'⚙️ Settings'!$C$17:$C$38,0)),FALSE()))</f>
        <v/>
      </c>
    </row>
    <row r="143" customFormat="false" ht="15" hidden="false" customHeight="false" outlineLevel="0" collapsed="false">
      <c r="B143" s="40"/>
      <c r="C143" s="41" t="str">
        <f aca="false">IF($B143="","",TEXT($B143,"ddd"))</f>
        <v/>
      </c>
      <c r="D143" s="42"/>
      <c r="E143" s="43" t="str">
        <f aca="false">IF($D143="","",IFERROR(INDEX('📆 Current Week'!$E$12:$E$33,MATCH($D143,'⚙️ Settings'!$C$17:$C$38,0))/7,""))</f>
        <v/>
      </c>
      <c r="F143" s="44"/>
      <c r="G143" s="42"/>
      <c r="H143" s="45" t="str">
        <f aca="false">IF($D143="","",IFERROR(INDEX('⚙️ Settings'!$G$17:$G$38,MATCH($D143,'⚙️ Settings'!$C$17:$C$38,0)),FALSE()))</f>
        <v/>
      </c>
    </row>
    <row r="144" customFormat="false" ht="15" hidden="false" customHeight="false" outlineLevel="0" collapsed="false">
      <c r="B144" s="40"/>
      <c r="C144" s="41" t="str">
        <f aca="false">IF($B144="","",TEXT($B144,"ddd"))</f>
        <v/>
      </c>
      <c r="D144" s="42"/>
      <c r="E144" s="43" t="str">
        <f aca="false">IF($D144="","",IFERROR(INDEX('📆 Current Week'!$E$12:$E$33,MATCH($D144,'⚙️ Settings'!$C$17:$C$38,0))/7,""))</f>
        <v/>
      </c>
      <c r="F144" s="44"/>
      <c r="G144" s="42"/>
      <c r="H144" s="45" t="str">
        <f aca="false">IF($D144="","",IFERROR(INDEX('⚙️ Settings'!$G$17:$G$38,MATCH($D144,'⚙️ Settings'!$C$17:$C$38,0)),FALSE()))</f>
        <v/>
      </c>
    </row>
    <row r="145" customFormat="false" ht="15" hidden="false" customHeight="false" outlineLevel="0" collapsed="false">
      <c r="B145" s="40"/>
      <c r="C145" s="41" t="str">
        <f aca="false">IF($B145="","",TEXT($B145,"ddd"))</f>
        <v/>
      </c>
      <c r="D145" s="42"/>
      <c r="E145" s="43" t="str">
        <f aca="false">IF($D145="","",IFERROR(INDEX('📆 Current Week'!$E$12:$E$33,MATCH($D145,'⚙️ Settings'!$C$17:$C$38,0))/7,""))</f>
        <v/>
      </c>
      <c r="F145" s="44"/>
      <c r="G145" s="42"/>
      <c r="H145" s="45" t="str">
        <f aca="false">IF($D145="","",IFERROR(INDEX('⚙️ Settings'!$G$17:$G$38,MATCH($D145,'⚙️ Settings'!$C$17:$C$38,0)),FALSE()))</f>
        <v/>
      </c>
    </row>
    <row r="146" customFormat="false" ht="15" hidden="false" customHeight="false" outlineLevel="0" collapsed="false">
      <c r="B146" s="40"/>
      <c r="C146" s="41" t="str">
        <f aca="false">IF($B146="","",TEXT($B146,"ddd"))</f>
        <v/>
      </c>
      <c r="D146" s="42"/>
      <c r="E146" s="43" t="str">
        <f aca="false">IF($D146="","",IFERROR(INDEX('📆 Current Week'!$E$12:$E$33,MATCH($D146,'⚙️ Settings'!$C$17:$C$38,0))/7,""))</f>
        <v/>
      </c>
      <c r="F146" s="44"/>
      <c r="G146" s="42"/>
      <c r="H146" s="45" t="str">
        <f aca="false">IF($D146="","",IFERROR(INDEX('⚙️ Settings'!$G$17:$G$38,MATCH($D146,'⚙️ Settings'!$C$17:$C$38,0)),FALSE()))</f>
        <v/>
      </c>
    </row>
    <row r="147" customFormat="false" ht="15" hidden="false" customHeight="false" outlineLevel="0" collapsed="false">
      <c r="B147" s="40"/>
      <c r="C147" s="41" t="str">
        <f aca="false">IF($B147="","",TEXT($B147,"ddd"))</f>
        <v/>
      </c>
      <c r="D147" s="42"/>
      <c r="E147" s="43" t="str">
        <f aca="false">IF($D147="","",IFERROR(INDEX('📆 Current Week'!$E$12:$E$33,MATCH($D147,'⚙️ Settings'!$C$17:$C$38,0))/7,""))</f>
        <v/>
      </c>
      <c r="F147" s="44"/>
      <c r="G147" s="42"/>
      <c r="H147" s="45" t="str">
        <f aca="false">IF($D147="","",IFERROR(INDEX('⚙️ Settings'!$G$17:$G$38,MATCH($D147,'⚙️ Settings'!$C$17:$C$38,0)),FALSE()))</f>
        <v/>
      </c>
    </row>
    <row r="148" customFormat="false" ht="15" hidden="false" customHeight="false" outlineLevel="0" collapsed="false">
      <c r="B148" s="40"/>
      <c r="C148" s="41" t="str">
        <f aca="false">IF($B148="","",TEXT($B148,"ddd"))</f>
        <v/>
      </c>
      <c r="D148" s="42"/>
      <c r="E148" s="43" t="str">
        <f aca="false">IF($D148="","",IFERROR(INDEX('📆 Current Week'!$E$12:$E$33,MATCH($D148,'⚙️ Settings'!$C$17:$C$38,0))/7,""))</f>
        <v/>
      </c>
      <c r="F148" s="44"/>
      <c r="G148" s="42"/>
      <c r="H148" s="45" t="str">
        <f aca="false">IF($D148="","",IFERROR(INDEX('⚙️ Settings'!$G$17:$G$38,MATCH($D148,'⚙️ Settings'!$C$17:$C$38,0)),FALSE()))</f>
        <v/>
      </c>
    </row>
    <row r="149" customFormat="false" ht="15" hidden="false" customHeight="false" outlineLevel="0" collapsed="false">
      <c r="B149" s="40"/>
      <c r="C149" s="41" t="str">
        <f aca="false">IF($B149="","",TEXT($B149,"ddd"))</f>
        <v/>
      </c>
      <c r="D149" s="42"/>
      <c r="E149" s="43" t="str">
        <f aca="false">IF($D149="","",IFERROR(INDEX('📆 Current Week'!$E$12:$E$33,MATCH($D149,'⚙️ Settings'!$C$17:$C$38,0))/7,""))</f>
        <v/>
      </c>
      <c r="F149" s="44"/>
      <c r="G149" s="42"/>
      <c r="H149" s="45" t="str">
        <f aca="false">IF($D149="","",IFERROR(INDEX('⚙️ Settings'!$G$17:$G$38,MATCH($D149,'⚙️ Settings'!$C$17:$C$38,0)),FALSE()))</f>
        <v/>
      </c>
    </row>
    <row r="150" customFormat="false" ht="15" hidden="false" customHeight="false" outlineLevel="0" collapsed="false">
      <c r="B150" s="40"/>
      <c r="C150" s="41" t="str">
        <f aca="false">IF($B150="","",TEXT($B150,"ddd"))</f>
        <v/>
      </c>
      <c r="D150" s="42"/>
      <c r="E150" s="43" t="str">
        <f aca="false">IF($D150="","",IFERROR(INDEX('📆 Current Week'!$E$12:$E$33,MATCH($D150,'⚙️ Settings'!$C$17:$C$38,0))/7,""))</f>
        <v/>
      </c>
      <c r="F150" s="44"/>
      <c r="G150" s="42"/>
      <c r="H150" s="45" t="str">
        <f aca="false">IF($D150="","",IFERROR(INDEX('⚙️ Settings'!$G$17:$G$38,MATCH($D150,'⚙️ Settings'!$C$17:$C$38,0)),FALSE()))</f>
        <v/>
      </c>
    </row>
    <row r="151" customFormat="false" ht="15" hidden="false" customHeight="false" outlineLevel="0" collapsed="false">
      <c r="B151" s="40"/>
      <c r="C151" s="41" t="str">
        <f aca="false">IF($B151="","",TEXT($B151,"ddd"))</f>
        <v/>
      </c>
      <c r="D151" s="42"/>
      <c r="E151" s="43" t="str">
        <f aca="false">IF($D151="","",IFERROR(INDEX('📆 Current Week'!$E$12:$E$33,MATCH($D151,'⚙️ Settings'!$C$17:$C$38,0))/7,""))</f>
        <v/>
      </c>
      <c r="F151" s="44"/>
      <c r="G151" s="42"/>
      <c r="H151" s="45" t="str">
        <f aca="false">IF($D151="","",IFERROR(INDEX('⚙️ Settings'!$G$17:$G$38,MATCH($D151,'⚙️ Settings'!$C$17:$C$38,0)),FALSE()))</f>
        <v/>
      </c>
    </row>
    <row r="152" customFormat="false" ht="15" hidden="false" customHeight="false" outlineLevel="0" collapsed="false">
      <c r="B152" s="40"/>
      <c r="C152" s="41" t="str">
        <f aca="false">IF($B152="","",TEXT($B152,"ddd"))</f>
        <v/>
      </c>
      <c r="D152" s="42"/>
      <c r="E152" s="43" t="str">
        <f aca="false">IF($D152="","",IFERROR(INDEX('📆 Current Week'!$E$12:$E$33,MATCH($D152,'⚙️ Settings'!$C$17:$C$38,0))/7,""))</f>
        <v/>
      </c>
      <c r="F152" s="44"/>
      <c r="G152" s="42"/>
      <c r="H152" s="45" t="str">
        <f aca="false">IF($D152="","",IFERROR(INDEX('⚙️ Settings'!$G$17:$G$38,MATCH($D152,'⚙️ Settings'!$C$17:$C$38,0)),FALSE()))</f>
        <v/>
      </c>
    </row>
    <row r="153" customFormat="false" ht="15" hidden="false" customHeight="false" outlineLevel="0" collapsed="false">
      <c r="B153" s="40"/>
      <c r="C153" s="41" t="str">
        <f aca="false">IF($B153="","",TEXT($B153,"ddd"))</f>
        <v/>
      </c>
      <c r="D153" s="42"/>
      <c r="E153" s="43" t="str">
        <f aca="false">IF($D153="","",IFERROR(INDEX('📆 Current Week'!$E$12:$E$33,MATCH($D153,'⚙️ Settings'!$C$17:$C$38,0))/7,""))</f>
        <v/>
      </c>
      <c r="F153" s="44"/>
      <c r="G153" s="42"/>
      <c r="H153" s="45" t="str">
        <f aca="false">IF($D153="","",IFERROR(INDEX('⚙️ Settings'!$G$17:$G$38,MATCH($D153,'⚙️ Settings'!$C$17:$C$38,0)),FALSE()))</f>
        <v/>
      </c>
    </row>
    <row r="154" customFormat="false" ht="15" hidden="false" customHeight="false" outlineLevel="0" collapsed="false">
      <c r="B154" s="40"/>
      <c r="C154" s="41" t="str">
        <f aca="false">IF($B154="","",TEXT($B154,"ddd"))</f>
        <v/>
      </c>
      <c r="D154" s="42"/>
      <c r="E154" s="43" t="str">
        <f aca="false">IF($D154="","",IFERROR(INDEX('📆 Current Week'!$E$12:$E$33,MATCH($D154,'⚙️ Settings'!$C$17:$C$38,0))/7,""))</f>
        <v/>
      </c>
      <c r="F154" s="44"/>
      <c r="G154" s="42"/>
      <c r="H154" s="45" t="str">
        <f aca="false">IF($D154="","",IFERROR(INDEX('⚙️ Settings'!$G$17:$G$38,MATCH($D154,'⚙️ Settings'!$C$17:$C$38,0)),FALSE()))</f>
        <v/>
      </c>
    </row>
    <row r="155" customFormat="false" ht="15" hidden="false" customHeight="false" outlineLevel="0" collapsed="false">
      <c r="B155" s="40"/>
      <c r="C155" s="41" t="str">
        <f aca="false">IF($B155="","",TEXT($B155,"ddd"))</f>
        <v/>
      </c>
      <c r="D155" s="42"/>
      <c r="E155" s="43" t="str">
        <f aca="false">IF($D155="","",IFERROR(INDEX('📆 Current Week'!$E$12:$E$33,MATCH($D155,'⚙️ Settings'!$C$17:$C$38,0))/7,""))</f>
        <v/>
      </c>
      <c r="F155" s="44"/>
      <c r="G155" s="42"/>
      <c r="H155" s="45" t="str">
        <f aca="false">IF($D155="","",IFERROR(INDEX('⚙️ Settings'!$G$17:$G$38,MATCH($D155,'⚙️ Settings'!$C$17:$C$38,0)),FALSE()))</f>
        <v/>
      </c>
    </row>
    <row r="156" customFormat="false" ht="15" hidden="false" customHeight="false" outlineLevel="0" collapsed="false">
      <c r="B156" s="40"/>
      <c r="C156" s="41" t="str">
        <f aca="false">IF($B156="","",TEXT($B156,"ddd"))</f>
        <v/>
      </c>
      <c r="D156" s="42"/>
      <c r="E156" s="43" t="str">
        <f aca="false">IF($D156="","",IFERROR(INDEX('📆 Current Week'!$E$12:$E$33,MATCH($D156,'⚙️ Settings'!$C$17:$C$38,0))/7,""))</f>
        <v/>
      </c>
      <c r="F156" s="44"/>
      <c r="G156" s="42"/>
      <c r="H156" s="45" t="str">
        <f aca="false">IF($D156="","",IFERROR(INDEX('⚙️ Settings'!$G$17:$G$38,MATCH($D156,'⚙️ Settings'!$C$17:$C$38,0)),FALSE()))</f>
        <v/>
      </c>
    </row>
    <row r="157" customFormat="false" ht="15" hidden="false" customHeight="false" outlineLevel="0" collapsed="false">
      <c r="B157" s="40"/>
      <c r="C157" s="41" t="str">
        <f aca="false">IF($B157="","",TEXT($B157,"ddd"))</f>
        <v/>
      </c>
      <c r="D157" s="42"/>
      <c r="E157" s="43" t="str">
        <f aca="false">IF($D157="","",IFERROR(INDEX('📆 Current Week'!$E$12:$E$33,MATCH($D157,'⚙️ Settings'!$C$17:$C$38,0))/7,""))</f>
        <v/>
      </c>
      <c r="F157" s="44"/>
      <c r="G157" s="42"/>
      <c r="H157" s="45" t="str">
        <f aca="false">IF($D157="","",IFERROR(INDEX('⚙️ Settings'!$G$17:$G$38,MATCH($D157,'⚙️ Settings'!$C$17:$C$38,0)),FALSE()))</f>
        <v/>
      </c>
    </row>
    <row r="158" customFormat="false" ht="15" hidden="false" customHeight="false" outlineLevel="0" collapsed="false">
      <c r="B158" s="40"/>
      <c r="C158" s="41" t="str">
        <f aca="false">IF($B158="","",TEXT($B158,"ddd"))</f>
        <v/>
      </c>
      <c r="D158" s="42"/>
      <c r="E158" s="43" t="str">
        <f aca="false">IF($D158="","",IFERROR(INDEX('📆 Current Week'!$E$12:$E$33,MATCH($D158,'⚙️ Settings'!$C$17:$C$38,0))/7,""))</f>
        <v/>
      </c>
      <c r="F158" s="44"/>
      <c r="G158" s="42"/>
      <c r="H158" s="45" t="str">
        <f aca="false">IF($D158="","",IFERROR(INDEX('⚙️ Settings'!$G$17:$G$38,MATCH($D158,'⚙️ Settings'!$C$17:$C$38,0)),FALSE()))</f>
        <v/>
      </c>
    </row>
    <row r="159" customFormat="false" ht="15" hidden="false" customHeight="false" outlineLevel="0" collapsed="false">
      <c r="B159" s="40"/>
      <c r="C159" s="41" t="str">
        <f aca="false">IF($B159="","",TEXT($B159,"ddd"))</f>
        <v/>
      </c>
      <c r="D159" s="42"/>
      <c r="E159" s="43" t="str">
        <f aca="false">IF($D159="","",IFERROR(INDEX('📆 Current Week'!$E$12:$E$33,MATCH($D159,'⚙️ Settings'!$C$17:$C$38,0))/7,""))</f>
        <v/>
      </c>
      <c r="F159" s="44"/>
      <c r="G159" s="42"/>
      <c r="H159" s="45" t="str">
        <f aca="false">IF($D159="","",IFERROR(INDEX('⚙️ Settings'!$G$17:$G$38,MATCH($D159,'⚙️ Settings'!$C$17:$C$38,0)),FALSE()))</f>
        <v/>
      </c>
    </row>
  </sheetData>
  <mergeCells count="4">
    <mergeCell ref="B6:J6"/>
    <mergeCell ref="B8:H8"/>
    <mergeCell ref="J8:M8"/>
    <mergeCell ref="J13:M13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conditionalFormatting sqref="K15:K21">
    <cfRule type="expression" priority="4" aboveAverage="0" equalAverage="0" bottom="0" percent="0" rank="0" text="" dxfId="0">
      <formula>K15&gt;24</formula>
    </cfRule>
    <cfRule type="expression" priority="5" aboveAverage="0" equalAverage="0" bottom="0" percent="0" rank="0" text="" dxfId="1">
      <formula>AND(K15&gt;18,K15&lt;=24)</formula>
    </cfRule>
  </conditionalFormatting>
  <dataValidations count="3">
    <dataValidation allowBlank="true" error="Enter a date." errorStyle="stop" operator="between" showDropDown="false" showErrorMessage="true" showInputMessage="false" sqref="B10:B159" type="date">
      <formula1>0</formula1>
      <formula2>0</formula2>
    </dataValidation>
    <dataValidation allowBlank="true" error="Pick a category from the list." errorStyle="stop" operator="between" showDropDown="false" showErrorMessage="true" showInputMessage="false" sqref="D10:D159" type="list">
      <formula1>CatList</formula1>
      <formula2>0</formula2>
    </dataValidation>
    <dataValidation allowBlank="true" error="Hours must be 0–24." errorStyle="stop" operator="between" showDropDown="false" showErrorMessage="true" showInputMessage="false" sqref="F10:F159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2"/>
    <col collapsed="false" customWidth="true" hidden="false" outlineLevel="0" max="14" min="10" style="0" width="8"/>
  </cols>
  <sheetData>
    <row r="2" customFormat="false" ht="19.7" hidden="false" customHeight="false" outlineLevel="0" collapsed="false">
      <c r="B2" s="1" t="s">
        <v>242</v>
      </c>
    </row>
    <row r="3" customFormat="false" ht="15" hidden="false" customHeight="false" outlineLevel="0" collapsed="false">
      <c r="B3" s="2" t="s">
        <v>243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9" customFormat="false" ht="15" hidden="false" customHeight="false" outlineLevel="0" collapsed="false">
      <c r="B9" s="34" t="str">
        <f aca="true">"Reviewing:  "&amp;TEXT(TODAY(),"mmmm yyyy")</f>
        <v>Reviewing:  August 2026</v>
      </c>
      <c r="C9" s="34"/>
      <c r="D9" s="34"/>
      <c r="E9" s="34"/>
    </row>
    <row r="10" customFormat="false" ht="21.75" hidden="false" customHeight="true" outlineLevel="0" collapsed="false">
      <c r="B10" s="3" t="s">
        <v>244</v>
      </c>
      <c r="C10" s="3"/>
      <c r="D10" s="3"/>
      <c r="E10" s="3"/>
      <c r="F10" s="3"/>
      <c r="G10" s="3"/>
      <c r="H10" s="3"/>
      <c r="J10" s="3" t="s">
        <v>245</v>
      </c>
      <c r="K10" s="3"/>
      <c r="L10" s="3"/>
      <c r="M10" s="3"/>
      <c r="N10" s="3"/>
    </row>
    <row r="11" customFormat="false" ht="15" hidden="false" customHeight="false" outlineLevel="0" collapsed="false">
      <c r="B11" s="8" t="s">
        <v>15</v>
      </c>
      <c r="C11" s="9" t="s">
        <v>16</v>
      </c>
      <c r="D11" s="9" t="s">
        <v>246</v>
      </c>
      <c r="E11" s="9" t="s">
        <v>247</v>
      </c>
      <c r="F11" s="9" t="s">
        <v>219</v>
      </c>
      <c r="G11" s="9" t="s">
        <v>248</v>
      </c>
      <c r="H11" s="9" t="s">
        <v>249</v>
      </c>
      <c r="J11" s="8" t="s">
        <v>250</v>
      </c>
      <c r="K11" s="9" t="s">
        <v>251</v>
      </c>
      <c r="L11" s="9" t="s">
        <v>252</v>
      </c>
      <c r="M11" s="9" t="s">
        <v>253</v>
      </c>
      <c r="N11" s="9" t="s">
        <v>254</v>
      </c>
    </row>
    <row r="12" customFormat="false" ht="15" hidden="false" customHeight="false" outlineLevel="0" collapsed="false">
      <c r="B12" s="11" t="str">
        <f aca="false">IF('⚙️ Settings'!C17="","",'⚙️ Settings'!B17&amp;"  "&amp;'⚙️ Settings'!C17)</f>
        <v>😴  Sleep</v>
      </c>
      <c r="C12" s="14" t="n">
        <f aca="false">IF($B12="","",'⚙️ Settings'!D17)</f>
        <v>57.1666666666667</v>
      </c>
      <c r="D12" s="14" t="n">
        <f aca="false">IF($B12="","",$C12*'⚙️ Settings'!$D$12)</f>
        <v>228.666666666667</v>
      </c>
      <c r="E12" s="12" t="n">
        <f aca="true">IF($B12="","",SUMIFS('📅 Daily Tracker'!$F$10:$F$159,'📅 Daily Tracker'!$D$10:$D$159,'⚙️ Settings'!C17,'📅 Daily Tracker'!$B$10:$B$159,"&gt;="&amp;EOMONTH(TODAY(),-1)+1,'📅 Daily Tracker'!$B$10:$B$159,"&lt;="&amp;EOMONTH(TODAY(),0)))</f>
        <v>0</v>
      </c>
      <c r="F12" s="14" t="n">
        <f aca="false">IF($B12="","",$E12-$D12)</f>
        <v>-228.666666666667</v>
      </c>
      <c r="G12" s="13" t="n">
        <f aca="false">IF($B12="","",$D12/('⚙️ Settings'!$D$11*'⚙️ Settings'!$D$12))</f>
        <v>0.340277777777778</v>
      </c>
      <c r="H12" s="10" t="str">
        <f aca="false">IF(OR($B12="",$E12=0),"",RANK($E12,$E$12:$E$33))</f>
        <v/>
      </c>
      <c r="J12" s="14" t="n">
        <f aca="true">IF($B12="","",SUMIFS('📅 Daily Tracker'!$F$10:$F$159,'📅 Daily Tracker'!$D$10:$D$159,'⚙️ Settings'!C17,'📅 Daily Tracker'!$B$10:$B$159,"&gt;="&amp;EOMONTH(TODAY(),-1)+1+0,'📅 Daily Tracker'!$B$10:$B$159,"&lt;"&amp;MIN(EOMONTH(TODAY(),0)+1,EOMONTH(TODAY(),-1)+1+7)))</f>
        <v>0</v>
      </c>
      <c r="K12" s="14" t="n">
        <f aca="true">IF($B12="","",SUMIFS('📅 Daily Tracker'!$F$10:$F$159,'📅 Daily Tracker'!$D$10:$D$159,'⚙️ Settings'!C17,'📅 Daily Tracker'!$B$10:$B$159,"&gt;="&amp;EOMONTH(TODAY(),-1)+1+7,'📅 Daily Tracker'!$B$10:$B$159,"&lt;"&amp;MIN(EOMONTH(TODAY(),0)+1,EOMONTH(TODAY(),-1)+1+14)))</f>
        <v>0</v>
      </c>
      <c r="L12" s="14" t="n">
        <f aca="true">IF($B12="","",SUMIFS('📅 Daily Tracker'!$F$10:$F$159,'📅 Daily Tracker'!$D$10:$D$159,'⚙️ Settings'!C17,'📅 Daily Tracker'!$B$10:$B$159,"&gt;="&amp;EOMONTH(TODAY(),-1)+1+14,'📅 Daily Tracker'!$B$10:$B$159,"&lt;"&amp;MIN(EOMONTH(TODAY(),0)+1,EOMONTH(TODAY(),-1)+1+21)))</f>
        <v>0</v>
      </c>
      <c r="M12" s="14" t="n">
        <f aca="true">IF($B12="","",SUMIFS('📅 Daily Tracker'!$F$10:$F$159,'📅 Daily Tracker'!$D$10:$D$159,'⚙️ Settings'!C17,'📅 Daily Tracker'!$B$10:$B$159,"&gt;="&amp;EOMONTH(TODAY(),-1)+1+21,'📅 Daily Tracker'!$B$10:$B$159,"&lt;"&amp;MIN(EOMONTH(TODAY(),0)+1,EOMONTH(TODAY(),-1)+1+28)))</f>
        <v>0</v>
      </c>
      <c r="N12" s="14" t="n">
        <f aca="true">IF($B12="","",SUMIFS('📅 Daily Tracker'!$F$10:$F$159,'📅 Daily Tracker'!$D$10:$D$159,'⚙️ Settings'!C17,'📅 Daily Tracker'!$B$10:$B$159,"&gt;="&amp;EOMONTH(TODAY(),-1)+1+28,'📅 Daily Tracker'!$B$10:$B$159,"&lt;"&amp;MIN(EOMONTH(TODAY(),0)+1,EOMONTH(TODAY(),-1)+1+35)))</f>
        <v>0</v>
      </c>
    </row>
    <row r="13" customFormat="false" ht="15" hidden="false" customHeight="false" outlineLevel="0" collapsed="false">
      <c r="B13" s="11" t="str">
        <f aca="false">IF('⚙️ Settings'!C18="","",'⚙️ Settings'!B18&amp;"  "&amp;'⚙️ Settings'!C18)</f>
        <v>💼  Work</v>
      </c>
      <c r="C13" s="14" t="n">
        <f aca="false">IF($B13="","",'⚙️ Settings'!D18)</f>
        <v>23</v>
      </c>
      <c r="D13" s="14" t="n">
        <f aca="false">IF($B13="","",$C13*'⚙️ Settings'!$D$12)</f>
        <v>92</v>
      </c>
      <c r="E13" s="12" t="n">
        <f aca="true">IF($B13="","",SUMIFS('📅 Daily Tracker'!$F$10:$F$159,'📅 Daily Tracker'!$D$10:$D$159,'⚙️ Settings'!C18,'📅 Daily Tracker'!$B$10:$B$159,"&gt;="&amp;EOMONTH(TODAY(),-1)+1,'📅 Daily Tracker'!$B$10:$B$159,"&lt;="&amp;EOMONTH(TODAY(),0)))</f>
        <v>0</v>
      </c>
      <c r="F13" s="14" t="n">
        <f aca="false">IF($B13="","",$E13-$D13)</f>
        <v>-92</v>
      </c>
      <c r="G13" s="13" t="n">
        <f aca="false">IF($B13="","",$D13/('⚙️ Settings'!$D$11*'⚙️ Settings'!$D$12))</f>
        <v>0.136904761904762</v>
      </c>
      <c r="H13" s="10" t="str">
        <f aca="false">IF(OR($B13="",$E13=0),"",RANK($E13,$E$12:$E$33))</f>
        <v/>
      </c>
      <c r="J13" s="14" t="n">
        <f aca="true">IF($B13="","",SUMIFS('📅 Daily Tracker'!$F$10:$F$159,'📅 Daily Tracker'!$D$10:$D$159,'⚙️ Settings'!C18,'📅 Daily Tracker'!$B$10:$B$159,"&gt;="&amp;EOMONTH(TODAY(),-1)+1+0,'📅 Daily Tracker'!$B$10:$B$159,"&lt;"&amp;MIN(EOMONTH(TODAY(),0)+1,EOMONTH(TODAY(),-1)+1+7)))</f>
        <v>0</v>
      </c>
      <c r="K13" s="14" t="n">
        <f aca="true">IF($B13="","",SUMIFS('📅 Daily Tracker'!$F$10:$F$159,'📅 Daily Tracker'!$D$10:$D$159,'⚙️ Settings'!C18,'📅 Daily Tracker'!$B$10:$B$159,"&gt;="&amp;EOMONTH(TODAY(),-1)+1+7,'📅 Daily Tracker'!$B$10:$B$159,"&lt;"&amp;MIN(EOMONTH(TODAY(),0)+1,EOMONTH(TODAY(),-1)+1+14)))</f>
        <v>0</v>
      </c>
      <c r="L13" s="14" t="n">
        <f aca="true">IF($B13="","",SUMIFS('📅 Daily Tracker'!$F$10:$F$159,'📅 Daily Tracker'!$D$10:$D$159,'⚙️ Settings'!C18,'📅 Daily Tracker'!$B$10:$B$159,"&gt;="&amp;EOMONTH(TODAY(),-1)+1+14,'📅 Daily Tracker'!$B$10:$B$159,"&lt;"&amp;MIN(EOMONTH(TODAY(),0)+1,EOMONTH(TODAY(),-1)+1+21)))</f>
        <v>0</v>
      </c>
      <c r="M13" s="14" t="n">
        <f aca="true">IF($B13="","",SUMIFS('📅 Daily Tracker'!$F$10:$F$159,'📅 Daily Tracker'!$D$10:$D$159,'⚙️ Settings'!C18,'📅 Daily Tracker'!$B$10:$B$159,"&gt;="&amp;EOMONTH(TODAY(),-1)+1+21,'📅 Daily Tracker'!$B$10:$B$159,"&lt;"&amp;MIN(EOMONTH(TODAY(),0)+1,EOMONTH(TODAY(),-1)+1+28)))</f>
        <v>0</v>
      </c>
      <c r="N13" s="14" t="n">
        <f aca="true">IF($B13="","",SUMIFS('📅 Daily Tracker'!$F$10:$F$159,'📅 Daily Tracker'!$D$10:$D$159,'⚙️ Settings'!C18,'📅 Daily Tracker'!$B$10:$B$159,"&gt;="&amp;EOMONTH(TODAY(),-1)+1+28,'📅 Daily Tracker'!$B$10:$B$159,"&lt;"&amp;MIN(EOMONTH(TODAY(),0)+1,EOMONTH(TODAY(),-1)+1+35)))</f>
        <v>0</v>
      </c>
    </row>
    <row r="14" customFormat="false" ht="15" hidden="false" customHeight="false" outlineLevel="0" collapsed="false">
      <c r="B14" s="11" t="str">
        <f aca="false">IF('⚙️ Settings'!C19="","",'⚙️ Settings'!B19&amp;"  "&amp;'⚙️ Settings'!C19)</f>
        <v>🎯  Deep Work</v>
      </c>
      <c r="C14" s="14" t="n">
        <f aca="false">IF($B14="","",'⚙️ Settings'!D19)</f>
        <v>12</v>
      </c>
      <c r="D14" s="14" t="n">
        <f aca="false">IF($B14="","",$C14*'⚙️ Settings'!$D$12)</f>
        <v>48</v>
      </c>
      <c r="E14" s="12" t="n">
        <f aca="true">IF($B14="","",SUMIFS('📅 Daily Tracker'!$F$10:$F$159,'📅 Daily Tracker'!$D$10:$D$159,'⚙️ Settings'!C19,'📅 Daily Tracker'!$B$10:$B$159,"&gt;="&amp;EOMONTH(TODAY(),-1)+1,'📅 Daily Tracker'!$B$10:$B$159,"&lt;="&amp;EOMONTH(TODAY(),0)))</f>
        <v>0</v>
      </c>
      <c r="F14" s="14" t="n">
        <f aca="false">IF($B14="","",$E14-$D14)</f>
        <v>-48</v>
      </c>
      <c r="G14" s="13" t="n">
        <f aca="false">IF($B14="","",$D14/('⚙️ Settings'!$D$11*'⚙️ Settings'!$D$12))</f>
        <v>0.0714285714285714</v>
      </c>
      <c r="H14" s="10" t="str">
        <f aca="false">IF(OR($B14="",$E14=0),"",RANK($E14,$E$12:$E$33))</f>
        <v/>
      </c>
      <c r="J14" s="14" t="n">
        <f aca="true">IF($B14="","",SUMIFS('📅 Daily Tracker'!$F$10:$F$159,'📅 Daily Tracker'!$D$10:$D$159,'⚙️ Settings'!C19,'📅 Daily Tracker'!$B$10:$B$159,"&gt;="&amp;EOMONTH(TODAY(),-1)+1+0,'📅 Daily Tracker'!$B$10:$B$159,"&lt;"&amp;MIN(EOMONTH(TODAY(),0)+1,EOMONTH(TODAY(),-1)+1+7)))</f>
        <v>0</v>
      </c>
      <c r="K14" s="14" t="n">
        <f aca="true">IF($B14="","",SUMIFS('📅 Daily Tracker'!$F$10:$F$159,'📅 Daily Tracker'!$D$10:$D$159,'⚙️ Settings'!C19,'📅 Daily Tracker'!$B$10:$B$159,"&gt;="&amp;EOMONTH(TODAY(),-1)+1+7,'📅 Daily Tracker'!$B$10:$B$159,"&lt;"&amp;MIN(EOMONTH(TODAY(),0)+1,EOMONTH(TODAY(),-1)+1+14)))</f>
        <v>0</v>
      </c>
      <c r="L14" s="14" t="n">
        <f aca="true">IF($B14="","",SUMIFS('📅 Daily Tracker'!$F$10:$F$159,'📅 Daily Tracker'!$D$10:$D$159,'⚙️ Settings'!C19,'📅 Daily Tracker'!$B$10:$B$159,"&gt;="&amp;EOMONTH(TODAY(),-1)+1+14,'📅 Daily Tracker'!$B$10:$B$159,"&lt;"&amp;MIN(EOMONTH(TODAY(),0)+1,EOMONTH(TODAY(),-1)+1+21)))</f>
        <v>0</v>
      </c>
      <c r="M14" s="14" t="n">
        <f aca="true">IF($B14="","",SUMIFS('📅 Daily Tracker'!$F$10:$F$159,'📅 Daily Tracker'!$D$10:$D$159,'⚙️ Settings'!C19,'📅 Daily Tracker'!$B$10:$B$159,"&gt;="&amp;EOMONTH(TODAY(),-1)+1+21,'📅 Daily Tracker'!$B$10:$B$159,"&lt;"&amp;MIN(EOMONTH(TODAY(),0)+1,EOMONTH(TODAY(),-1)+1+28)))</f>
        <v>0</v>
      </c>
      <c r="N14" s="14" t="n">
        <f aca="true">IF($B14="","",SUMIFS('📅 Daily Tracker'!$F$10:$F$159,'📅 Daily Tracker'!$D$10:$D$159,'⚙️ Settings'!C19,'📅 Daily Tracker'!$B$10:$B$159,"&gt;="&amp;EOMONTH(TODAY(),-1)+1+28,'📅 Daily Tracker'!$B$10:$B$159,"&lt;"&amp;MIN(EOMONTH(TODAY(),0)+1,EOMONTH(TODAY(),-1)+1+35)))</f>
        <v>0</v>
      </c>
    </row>
    <row r="15" customFormat="false" ht="15" hidden="false" customHeight="false" outlineLevel="0" collapsed="false">
      <c r="B15" s="11" t="str">
        <f aca="false">IF('⚙️ Settings'!C20="","",'⚙️ Settings'!B20&amp;"  "&amp;'⚙️ Settings'!C20)</f>
        <v>🗣️  Meetings</v>
      </c>
      <c r="C15" s="14" t="n">
        <f aca="false">IF($B15="","",'⚙️ Settings'!D20)</f>
        <v>5</v>
      </c>
      <c r="D15" s="14" t="n">
        <f aca="false">IF($B15="","",$C15*'⚙️ Settings'!$D$12)</f>
        <v>20</v>
      </c>
      <c r="E15" s="12" t="n">
        <f aca="true">IF($B15="","",SUMIFS('📅 Daily Tracker'!$F$10:$F$159,'📅 Daily Tracker'!$D$10:$D$159,'⚙️ Settings'!C20,'📅 Daily Tracker'!$B$10:$B$159,"&gt;="&amp;EOMONTH(TODAY(),-1)+1,'📅 Daily Tracker'!$B$10:$B$159,"&lt;="&amp;EOMONTH(TODAY(),0)))</f>
        <v>0</v>
      </c>
      <c r="F15" s="14" t="n">
        <f aca="false">IF($B15="","",$E15-$D15)</f>
        <v>-20</v>
      </c>
      <c r="G15" s="13" t="n">
        <f aca="false">IF($B15="","",$D15/('⚙️ Settings'!$D$11*'⚙️ Settings'!$D$12))</f>
        <v>0.0297619047619048</v>
      </c>
      <c r="H15" s="10" t="str">
        <f aca="false">IF(OR($B15="",$E15=0),"",RANK($E15,$E$12:$E$33))</f>
        <v/>
      </c>
      <c r="J15" s="14" t="n">
        <f aca="true">IF($B15="","",SUMIFS('📅 Daily Tracker'!$F$10:$F$159,'📅 Daily Tracker'!$D$10:$D$159,'⚙️ Settings'!C20,'📅 Daily Tracker'!$B$10:$B$159,"&gt;="&amp;EOMONTH(TODAY(),-1)+1+0,'📅 Daily Tracker'!$B$10:$B$159,"&lt;"&amp;MIN(EOMONTH(TODAY(),0)+1,EOMONTH(TODAY(),-1)+1+7)))</f>
        <v>0</v>
      </c>
      <c r="K15" s="14" t="n">
        <f aca="true">IF($B15="","",SUMIFS('📅 Daily Tracker'!$F$10:$F$159,'📅 Daily Tracker'!$D$10:$D$159,'⚙️ Settings'!C20,'📅 Daily Tracker'!$B$10:$B$159,"&gt;="&amp;EOMONTH(TODAY(),-1)+1+7,'📅 Daily Tracker'!$B$10:$B$159,"&lt;"&amp;MIN(EOMONTH(TODAY(),0)+1,EOMONTH(TODAY(),-1)+1+14)))</f>
        <v>0</v>
      </c>
      <c r="L15" s="14" t="n">
        <f aca="true">IF($B15="","",SUMIFS('📅 Daily Tracker'!$F$10:$F$159,'📅 Daily Tracker'!$D$10:$D$159,'⚙️ Settings'!C20,'📅 Daily Tracker'!$B$10:$B$159,"&gt;="&amp;EOMONTH(TODAY(),-1)+1+14,'📅 Daily Tracker'!$B$10:$B$159,"&lt;"&amp;MIN(EOMONTH(TODAY(),0)+1,EOMONTH(TODAY(),-1)+1+21)))</f>
        <v>0</v>
      </c>
      <c r="M15" s="14" t="n">
        <f aca="true">IF($B15="","",SUMIFS('📅 Daily Tracker'!$F$10:$F$159,'📅 Daily Tracker'!$D$10:$D$159,'⚙️ Settings'!C20,'📅 Daily Tracker'!$B$10:$B$159,"&gt;="&amp;EOMONTH(TODAY(),-1)+1+21,'📅 Daily Tracker'!$B$10:$B$159,"&lt;"&amp;MIN(EOMONTH(TODAY(),0)+1,EOMONTH(TODAY(),-1)+1+28)))</f>
        <v>0</v>
      </c>
      <c r="N15" s="14" t="n">
        <f aca="true">IF($B15="","",SUMIFS('📅 Daily Tracker'!$F$10:$F$159,'📅 Daily Tracker'!$D$10:$D$159,'⚙️ Settings'!C20,'📅 Daily Tracker'!$B$10:$B$159,"&gt;="&amp;EOMONTH(TODAY(),-1)+1+28,'📅 Daily Tracker'!$B$10:$B$159,"&lt;"&amp;MIN(EOMONTH(TODAY(),0)+1,EOMONTH(TODAY(),-1)+1+35)))</f>
        <v>0</v>
      </c>
    </row>
    <row r="16" customFormat="false" ht="15" hidden="false" customHeight="false" outlineLevel="0" collapsed="false">
      <c r="B16" s="11" t="str">
        <f aca="false">IF('⚙️ Settings'!C21="","",'⚙️ Settings'!B21&amp;"  "&amp;'⚙️ Settings'!C21)</f>
        <v>🍕  Food</v>
      </c>
      <c r="C16" s="14" t="n">
        <f aca="false">IF($B16="","",'⚙️ Settings'!D21)</f>
        <v>5.91666666666667</v>
      </c>
      <c r="D16" s="14" t="n">
        <f aca="false">IF($B16="","",$C16*'⚙️ Settings'!$D$12)</f>
        <v>23.6666666666667</v>
      </c>
      <c r="E16" s="12" t="n">
        <f aca="true">IF($B16="","",SUMIFS('📅 Daily Tracker'!$F$10:$F$159,'📅 Daily Tracker'!$D$10:$D$159,'⚙️ Settings'!C21,'📅 Daily Tracker'!$B$10:$B$159,"&gt;="&amp;EOMONTH(TODAY(),-1)+1,'📅 Daily Tracker'!$B$10:$B$159,"&lt;="&amp;EOMONTH(TODAY(),0)))</f>
        <v>0</v>
      </c>
      <c r="F16" s="14" t="n">
        <f aca="false">IF($B16="","",$E16-$D16)</f>
        <v>-23.6666666666667</v>
      </c>
      <c r="G16" s="13" t="n">
        <f aca="false">IF($B16="","",$D16/('⚙️ Settings'!$D$11*'⚙️ Settings'!$D$12))</f>
        <v>0.035218253968254</v>
      </c>
      <c r="H16" s="10" t="str">
        <f aca="false">IF(OR($B16="",$E16=0),"",RANK($E16,$E$12:$E$33))</f>
        <v/>
      </c>
      <c r="J16" s="14" t="n">
        <f aca="true">IF($B16="","",SUMIFS('📅 Daily Tracker'!$F$10:$F$159,'📅 Daily Tracker'!$D$10:$D$159,'⚙️ Settings'!C21,'📅 Daily Tracker'!$B$10:$B$159,"&gt;="&amp;EOMONTH(TODAY(),-1)+1+0,'📅 Daily Tracker'!$B$10:$B$159,"&lt;"&amp;MIN(EOMONTH(TODAY(),0)+1,EOMONTH(TODAY(),-1)+1+7)))</f>
        <v>0</v>
      </c>
      <c r="K16" s="14" t="n">
        <f aca="true">IF($B16="","",SUMIFS('📅 Daily Tracker'!$F$10:$F$159,'📅 Daily Tracker'!$D$10:$D$159,'⚙️ Settings'!C21,'📅 Daily Tracker'!$B$10:$B$159,"&gt;="&amp;EOMONTH(TODAY(),-1)+1+7,'📅 Daily Tracker'!$B$10:$B$159,"&lt;"&amp;MIN(EOMONTH(TODAY(),0)+1,EOMONTH(TODAY(),-1)+1+14)))</f>
        <v>0</v>
      </c>
      <c r="L16" s="14" t="n">
        <f aca="true">IF($B16="","",SUMIFS('📅 Daily Tracker'!$F$10:$F$159,'📅 Daily Tracker'!$D$10:$D$159,'⚙️ Settings'!C21,'📅 Daily Tracker'!$B$10:$B$159,"&gt;="&amp;EOMONTH(TODAY(),-1)+1+14,'📅 Daily Tracker'!$B$10:$B$159,"&lt;"&amp;MIN(EOMONTH(TODAY(),0)+1,EOMONTH(TODAY(),-1)+1+21)))</f>
        <v>0</v>
      </c>
      <c r="M16" s="14" t="n">
        <f aca="true">IF($B16="","",SUMIFS('📅 Daily Tracker'!$F$10:$F$159,'📅 Daily Tracker'!$D$10:$D$159,'⚙️ Settings'!C21,'📅 Daily Tracker'!$B$10:$B$159,"&gt;="&amp;EOMONTH(TODAY(),-1)+1+21,'📅 Daily Tracker'!$B$10:$B$159,"&lt;"&amp;MIN(EOMONTH(TODAY(),0)+1,EOMONTH(TODAY(),-1)+1+28)))</f>
        <v>0</v>
      </c>
      <c r="N16" s="14" t="n">
        <f aca="true">IF($B16="","",SUMIFS('📅 Daily Tracker'!$F$10:$F$159,'📅 Daily Tracker'!$D$10:$D$159,'⚙️ Settings'!C21,'📅 Daily Tracker'!$B$10:$B$159,"&gt;="&amp;EOMONTH(TODAY(),-1)+1+28,'📅 Daily Tracker'!$B$10:$B$159,"&lt;"&amp;MIN(EOMONTH(TODAY(),0)+1,EOMONTH(TODAY(),-1)+1+35)))</f>
        <v>0</v>
      </c>
    </row>
    <row r="17" customFormat="false" ht="15" hidden="false" customHeight="false" outlineLevel="0" collapsed="false">
      <c r="B17" s="11" t="str">
        <f aca="false">IF('⚙️ Settings'!C22="","",'⚙️ Settings'!B22&amp;"  "&amp;'⚙️ Settings'!C22)</f>
        <v>🧹  Household Chores</v>
      </c>
      <c r="C17" s="14" t="n">
        <f aca="false">IF($B17="","",'⚙️ Settings'!D22)</f>
        <v>4</v>
      </c>
      <c r="D17" s="14" t="n">
        <f aca="false">IF($B17="","",$C17*'⚙️ Settings'!$D$12)</f>
        <v>16</v>
      </c>
      <c r="E17" s="12" t="n">
        <f aca="true">IF($B17="","",SUMIFS('📅 Daily Tracker'!$F$10:$F$159,'📅 Daily Tracker'!$D$10:$D$159,'⚙️ Settings'!C22,'📅 Daily Tracker'!$B$10:$B$159,"&gt;="&amp;EOMONTH(TODAY(),-1)+1,'📅 Daily Tracker'!$B$10:$B$159,"&lt;="&amp;EOMONTH(TODAY(),0)))</f>
        <v>0</v>
      </c>
      <c r="F17" s="14" t="n">
        <f aca="false">IF($B17="","",$E17-$D17)</f>
        <v>-16</v>
      </c>
      <c r="G17" s="13" t="n">
        <f aca="false">IF($B17="","",$D17/('⚙️ Settings'!$D$11*'⚙️ Settings'!$D$12))</f>
        <v>0.0238095238095238</v>
      </c>
      <c r="H17" s="10" t="str">
        <f aca="false">IF(OR($B17="",$E17=0),"",RANK($E17,$E$12:$E$33))</f>
        <v/>
      </c>
      <c r="J17" s="14" t="n">
        <f aca="true">IF($B17="","",SUMIFS('📅 Daily Tracker'!$F$10:$F$159,'📅 Daily Tracker'!$D$10:$D$159,'⚙️ Settings'!C22,'📅 Daily Tracker'!$B$10:$B$159,"&gt;="&amp;EOMONTH(TODAY(),-1)+1+0,'📅 Daily Tracker'!$B$10:$B$159,"&lt;"&amp;MIN(EOMONTH(TODAY(),0)+1,EOMONTH(TODAY(),-1)+1+7)))</f>
        <v>0</v>
      </c>
      <c r="K17" s="14" t="n">
        <f aca="true">IF($B17="","",SUMIFS('📅 Daily Tracker'!$F$10:$F$159,'📅 Daily Tracker'!$D$10:$D$159,'⚙️ Settings'!C22,'📅 Daily Tracker'!$B$10:$B$159,"&gt;="&amp;EOMONTH(TODAY(),-1)+1+7,'📅 Daily Tracker'!$B$10:$B$159,"&lt;"&amp;MIN(EOMONTH(TODAY(),0)+1,EOMONTH(TODAY(),-1)+1+14)))</f>
        <v>0</v>
      </c>
      <c r="L17" s="14" t="n">
        <f aca="true">IF($B17="","",SUMIFS('📅 Daily Tracker'!$F$10:$F$159,'📅 Daily Tracker'!$D$10:$D$159,'⚙️ Settings'!C22,'📅 Daily Tracker'!$B$10:$B$159,"&gt;="&amp;EOMONTH(TODAY(),-1)+1+14,'📅 Daily Tracker'!$B$10:$B$159,"&lt;"&amp;MIN(EOMONTH(TODAY(),0)+1,EOMONTH(TODAY(),-1)+1+21)))</f>
        <v>0</v>
      </c>
      <c r="M17" s="14" t="n">
        <f aca="true">IF($B17="","",SUMIFS('📅 Daily Tracker'!$F$10:$F$159,'📅 Daily Tracker'!$D$10:$D$159,'⚙️ Settings'!C22,'📅 Daily Tracker'!$B$10:$B$159,"&gt;="&amp;EOMONTH(TODAY(),-1)+1+21,'📅 Daily Tracker'!$B$10:$B$159,"&lt;"&amp;MIN(EOMONTH(TODAY(),0)+1,EOMONTH(TODAY(),-1)+1+28)))</f>
        <v>0</v>
      </c>
      <c r="N17" s="14" t="n">
        <f aca="true">IF($B17="","",SUMIFS('📅 Daily Tracker'!$F$10:$F$159,'📅 Daily Tracker'!$D$10:$D$159,'⚙️ Settings'!C22,'📅 Daily Tracker'!$B$10:$B$159,"&gt;="&amp;EOMONTH(TODAY(),-1)+1+28,'📅 Daily Tracker'!$B$10:$B$159,"&lt;"&amp;MIN(EOMONTH(TODAY(),0)+1,EOMONTH(TODAY(),-1)+1+35)))</f>
        <v>0</v>
      </c>
    </row>
    <row r="18" customFormat="false" ht="15" hidden="false" customHeight="false" outlineLevel="0" collapsed="false">
      <c r="B18" s="11" t="str">
        <f aca="false">IF('⚙️ Settings'!C23="","",'⚙️ Settings'!B23&amp;"  "&amp;'⚙️ Settings'!C23)</f>
        <v>👶  Childcare</v>
      </c>
      <c r="C18" s="14" t="n">
        <f aca="false">IF($B18="","",'⚙️ Settings'!D23)</f>
        <v>0</v>
      </c>
      <c r="D18" s="14" t="n">
        <f aca="false">IF($B18="","",$C18*'⚙️ Settings'!$D$12)</f>
        <v>0</v>
      </c>
      <c r="E18" s="12" t="n">
        <f aca="true">IF($B18="","",SUMIFS('📅 Daily Tracker'!$F$10:$F$159,'📅 Daily Tracker'!$D$10:$D$159,'⚙️ Settings'!C23,'📅 Daily Tracker'!$B$10:$B$159,"&gt;="&amp;EOMONTH(TODAY(),-1)+1,'📅 Daily Tracker'!$B$10:$B$159,"&lt;="&amp;EOMONTH(TODAY(),0)))</f>
        <v>0</v>
      </c>
      <c r="F18" s="14" t="n">
        <f aca="false">IF($B18="","",$E18-$D18)</f>
        <v>0</v>
      </c>
      <c r="G18" s="13" t="n">
        <f aca="false">IF($B18="","",$D18/('⚙️ Settings'!$D$11*'⚙️ Settings'!$D$12))</f>
        <v>0</v>
      </c>
      <c r="H18" s="10" t="str">
        <f aca="false">IF(OR($B18="",$E18=0),"",RANK($E18,$E$12:$E$33))</f>
        <v/>
      </c>
      <c r="J18" s="14" t="n">
        <f aca="true">IF($B18="","",SUMIFS('📅 Daily Tracker'!$F$10:$F$159,'📅 Daily Tracker'!$D$10:$D$159,'⚙️ Settings'!C23,'📅 Daily Tracker'!$B$10:$B$159,"&gt;="&amp;EOMONTH(TODAY(),-1)+1+0,'📅 Daily Tracker'!$B$10:$B$159,"&lt;"&amp;MIN(EOMONTH(TODAY(),0)+1,EOMONTH(TODAY(),-1)+1+7)))</f>
        <v>0</v>
      </c>
      <c r="K18" s="14" t="n">
        <f aca="true">IF($B18="","",SUMIFS('📅 Daily Tracker'!$F$10:$F$159,'📅 Daily Tracker'!$D$10:$D$159,'⚙️ Settings'!C23,'📅 Daily Tracker'!$B$10:$B$159,"&gt;="&amp;EOMONTH(TODAY(),-1)+1+7,'📅 Daily Tracker'!$B$10:$B$159,"&lt;"&amp;MIN(EOMONTH(TODAY(),0)+1,EOMONTH(TODAY(),-1)+1+14)))</f>
        <v>0</v>
      </c>
      <c r="L18" s="14" t="n">
        <f aca="true">IF($B18="","",SUMIFS('📅 Daily Tracker'!$F$10:$F$159,'📅 Daily Tracker'!$D$10:$D$159,'⚙️ Settings'!C23,'📅 Daily Tracker'!$B$10:$B$159,"&gt;="&amp;EOMONTH(TODAY(),-1)+1+14,'📅 Daily Tracker'!$B$10:$B$159,"&lt;"&amp;MIN(EOMONTH(TODAY(),0)+1,EOMONTH(TODAY(),-1)+1+21)))</f>
        <v>0</v>
      </c>
      <c r="M18" s="14" t="n">
        <f aca="true">IF($B18="","",SUMIFS('📅 Daily Tracker'!$F$10:$F$159,'📅 Daily Tracker'!$D$10:$D$159,'⚙️ Settings'!C23,'📅 Daily Tracker'!$B$10:$B$159,"&gt;="&amp;EOMONTH(TODAY(),-1)+1+21,'📅 Daily Tracker'!$B$10:$B$159,"&lt;"&amp;MIN(EOMONTH(TODAY(),0)+1,EOMONTH(TODAY(),-1)+1+28)))</f>
        <v>0</v>
      </c>
      <c r="N18" s="14" t="n">
        <f aca="true">IF($B18="","",SUMIFS('📅 Daily Tracker'!$F$10:$F$159,'📅 Daily Tracker'!$D$10:$D$159,'⚙️ Settings'!C23,'📅 Daily Tracker'!$B$10:$B$159,"&gt;="&amp;EOMONTH(TODAY(),-1)+1+28,'📅 Daily Tracker'!$B$10:$B$159,"&lt;"&amp;MIN(EOMONTH(TODAY(),0)+1,EOMONTH(TODAY(),-1)+1+35)))</f>
        <v>0</v>
      </c>
    </row>
    <row r="19" customFormat="false" ht="15" hidden="false" customHeight="false" outlineLevel="0" collapsed="false">
      <c r="B19" s="11" t="str">
        <f aca="false">IF('⚙️ Settings'!C24="","",'⚙️ Settings'!B24&amp;"  "&amp;'⚙️ Settings'!C24)</f>
        <v>🏋️  Fitness</v>
      </c>
      <c r="C19" s="14" t="n">
        <f aca="false">IF($B19="","",'⚙️ Settings'!D24)</f>
        <v>10</v>
      </c>
      <c r="D19" s="14" t="n">
        <f aca="false">IF($B19="","",$C19*'⚙️ Settings'!$D$12)</f>
        <v>40</v>
      </c>
      <c r="E19" s="12" t="n">
        <f aca="true">IF($B19="","",SUMIFS('📅 Daily Tracker'!$F$10:$F$159,'📅 Daily Tracker'!$D$10:$D$159,'⚙️ Settings'!C24,'📅 Daily Tracker'!$B$10:$B$159,"&gt;="&amp;EOMONTH(TODAY(),-1)+1,'📅 Daily Tracker'!$B$10:$B$159,"&lt;="&amp;EOMONTH(TODAY(),0)))</f>
        <v>0</v>
      </c>
      <c r="F19" s="14" t="n">
        <f aca="false">IF($B19="","",$E19-$D19)</f>
        <v>-40</v>
      </c>
      <c r="G19" s="13" t="n">
        <f aca="false">IF($B19="","",$D19/('⚙️ Settings'!$D$11*'⚙️ Settings'!$D$12))</f>
        <v>0.0595238095238095</v>
      </c>
      <c r="H19" s="10" t="str">
        <f aca="false">IF(OR($B19="",$E19=0),"",RANK($E19,$E$12:$E$33))</f>
        <v/>
      </c>
      <c r="J19" s="14" t="n">
        <f aca="true">IF($B19="","",SUMIFS('📅 Daily Tracker'!$F$10:$F$159,'📅 Daily Tracker'!$D$10:$D$159,'⚙️ Settings'!C24,'📅 Daily Tracker'!$B$10:$B$159,"&gt;="&amp;EOMONTH(TODAY(),-1)+1+0,'📅 Daily Tracker'!$B$10:$B$159,"&lt;"&amp;MIN(EOMONTH(TODAY(),0)+1,EOMONTH(TODAY(),-1)+1+7)))</f>
        <v>0</v>
      </c>
      <c r="K19" s="14" t="n">
        <f aca="true">IF($B19="","",SUMIFS('📅 Daily Tracker'!$F$10:$F$159,'📅 Daily Tracker'!$D$10:$D$159,'⚙️ Settings'!C24,'📅 Daily Tracker'!$B$10:$B$159,"&gt;="&amp;EOMONTH(TODAY(),-1)+1+7,'📅 Daily Tracker'!$B$10:$B$159,"&lt;"&amp;MIN(EOMONTH(TODAY(),0)+1,EOMONTH(TODAY(),-1)+1+14)))</f>
        <v>0</v>
      </c>
      <c r="L19" s="14" t="n">
        <f aca="true">IF($B19="","",SUMIFS('📅 Daily Tracker'!$F$10:$F$159,'📅 Daily Tracker'!$D$10:$D$159,'⚙️ Settings'!C24,'📅 Daily Tracker'!$B$10:$B$159,"&gt;="&amp;EOMONTH(TODAY(),-1)+1+14,'📅 Daily Tracker'!$B$10:$B$159,"&lt;"&amp;MIN(EOMONTH(TODAY(),0)+1,EOMONTH(TODAY(),-1)+1+21)))</f>
        <v>0</v>
      </c>
      <c r="M19" s="14" t="n">
        <f aca="true">IF($B19="","",SUMIFS('📅 Daily Tracker'!$F$10:$F$159,'📅 Daily Tracker'!$D$10:$D$159,'⚙️ Settings'!C24,'📅 Daily Tracker'!$B$10:$B$159,"&gt;="&amp;EOMONTH(TODAY(),-1)+1+21,'📅 Daily Tracker'!$B$10:$B$159,"&lt;"&amp;MIN(EOMONTH(TODAY(),0)+1,EOMONTH(TODAY(),-1)+1+28)))</f>
        <v>0</v>
      </c>
      <c r="N19" s="14" t="n">
        <f aca="true">IF($B19="","",SUMIFS('📅 Daily Tracker'!$F$10:$F$159,'📅 Daily Tracker'!$D$10:$D$159,'⚙️ Settings'!C24,'📅 Daily Tracker'!$B$10:$B$159,"&gt;="&amp;EOMONTH(TODAY(),-1)+1+28,'📅 Daily Tracker'!$B$10:$B$159,"&lt;"&amp;MIN(EOMONTH(TODAY(),0)+1,EOMONTH(TODAY(),-1)+1+35)))</f>
        <v>0</v>
      </c>
    </row>
    <row r="20" customFormat="false" ht="15" hidden="false" customHeight="false" outlineLevel="0" collapsed="false">
      <c r="B20" s="11" t="str">
        <f aca="false">IF('⚙️ Settings'!C25="","",'⚙️ Settings'!B25&amp;"  "&amp;'⚙️ Settings'!C25)</f>
        <v>📺  Entertainment</v>
      </c>
      <c r="C20" s="14" t="n">
        <f aca="false">IF($B20="","",'⚙️ Settings'!D25)</f>
        <v>12</v>
      </c>
      <c r="D20" s="14" t="n">
        <f aca="false">IF($B20="","",$C20*'⚙️ Settings'!$D$12)</f>
        <v>48</v>
      </c>
      <c r="E20" s="12" t="n">
        <f aca="true">IF($B20="","",SUMIFS('📅 Daily Tracker'!$F$10:$F$159,'📅 Daily Tracker'!$D$10:$D$159,'⚙️ Settings'!C25,'📅 Daily Tracker'!$B$10:$B$159,"&gt;="&amp;EOMONTH(TODAY(),-1)+1,'📅 Daily Tracker'!$B$10:$B$159,"&lt;="&amp;EOMONTH(TODAY(),0)))</f>
        <v>0</v>
      </c>
      <c r="F20" s="14" t="n">
        <f aca="false">IF($B20="","",$E20-$D20)</f>
        <v>-48</v>
      </c>
      <c r="G20" s="13" t="n">
        <f aca="false">IF($B20="","",$D20/('⚙️ Settings'!$D$11*'⚙️ Settings'!$D$12))</f>
        <v>0.0714285714285714</v>
      </c>
      <c r="H20" s="10" t="str">
        <f aca="false">IF(OR($B20="",$E20=0),"",RANK($E20,$E$12:$E$33))</f>
        <v/>
      </c>
      <c r="J20" s="14" t="n">
        <f aca="true">IF($B20="","",SUMIFS('📅 Daily Tracker'!$F$10:$F$159,'📅 Daily Tracker'!$D$10:$D$159,'⚙️ Settings'!C25,'📅 Daily Tracker'!$B$10:$B$159,"&gt;="&amp;EOMONTH(TODAY(),-1)+1+0,'📅 Daily Tracker'!$B$10:$B$159,"&lt;"&amp;MIN(EOMONTH(TODAY(),0)+1,EOMONTH(TODAY(),-1)+1+7)))</f>
        <v>0</v>
      </c>
      <c r="K20" s="14" t="n">
        <f aca="true">IF($B20="","",SUMIFS('📅 Daily Tracker'!$F$10:$F$159,'📅 Daily Tracker'!$D$10:$D$159,'⚙️ Settings'!C25,'📅 Daily Tracker'!$B$10:$B$159,"&gt;="&amp;EOMONTH(TODAY(),-1)+1+7,'📅 Daily Tracker'!$B$10:$B$159,"&lt;"&amp;MIN(EOMONTH(TODAY(),0)+1,EOMONTH(TODAY(),-1)+1+14)))</f>
        <v>0</v>
      </c>
      <c r="L20" s="14" t="n">
        <f aca="true">IF($B20="","",SUMIFS('📅 Daily Tracker'!$F$10:$F$159,'📅 Daily Tracker'!$D$10:$D$159,'⚙️ Settings'!C25,'📅 Daily Tracker'!$B$10:$B$159,"&gt;="&amp;EOMONTH(TODAY(),-1)+1+14,'📅 Daily Tracker'!$B$10:$B$159,"&lt;"&amp;MIN(EOMONTH(TODAY(),0)+1,EOMONTH(TODAY(),-1)+1+21)))</f>
        <v>0</v>
      </c>
      <c r="M20" s="14" t="n">
        <f aca="true">IF($B20="","",SUMIFS('📅 Daily Tracker'!$F$10:$F$159,'📅 Daily Tracker'!$D$10:$D$159,'⚙️ Settings'!C25,'📅 Daily Tracker'!$B$10:$B$159,"&gt;="&amp;EOMONTH(TODAY(),-1)+1+21,'📅 Daily Tracker'!$B$10:$B$159,"&lt;"&amp;MIN(EOMONTH(TODAY(),0)+1,EOMONTH(TODAY(),-1)+1+28)))</f>
        <v>0</v>
      </c>
      <c r="N20" s="14" t="n">
        <f aca="true">IF($B20="","",SUMIFS('📅 Daily Tracker'!$F$10:$F$159,'📅 Daily Tracker'!$D$10:$D$159,'⚙️ Settings'!C25,'📅 Daily Tracker'!$B$10:$B$159,"&gt;="&amp;EOMONTH(TODAY(),-1)+1+28,'📅 Daily Tracker'!$B$10:$B$159,"&lt;"&amp;MIN(EOMONTH(TODAY(),0)+1,EOMONTH(TODAY(),-1)+1+35)))</f>
        <v>0</v>
      </c>
    </row>
    <row r="21" customFormat="false" ht="15" hidden="false" customHeight="false" outlineLevel="0" collapsed="false">
      <c r="B21" s="11" t="str">
        <f aca="false">IF('⚙️ Settings'!C26="","",'⚙️ Settings'!B26&amp;"  "&amp;'⚙️ Settings'!C26)</f>
        <v>❤️  Relationships</v>
      </c>
      <c r="C21" s="14" t="n">
        <f aca="false">IF($B21="","",'⚙️ Settings'!D26)</f>
        <v>6</v>
      </c>
      <c r="D21" s="14" t="n">
        <f aca="false">IF($B21="","",$C21*'⚙️ Settings'!$D$12)</f>
        <v>24</v>
      </c>
      <c r="E21" s="12" t="n">
        <f aca="true">IF($B21="","",SUMIFS('📅 Daily Tracker'!$F$10:$F$159,'📅 Daily Tracker'!$D$10:$D$159,'⚙️ Settings'!C26,'📅 Daily Tracker'!$B$10:$B$159,"&gt;="&amp;EOMONTH(TODAY(),-1)+1,'📅 Daily Tracker'!$B$10:$B$159,"&lt;="&amp;EOMONTH(TODAY(),0)))</f>
        <v>0</v>
      </c>
      <c r="F21" s="14" t="n">
        <f aca="false">IF($B21="","",$E21-$D21)</f>
        <v>-24</v>
      </c>
      <c r="G21" s="13" t="n">
        <f aca="false">IF($B21="","",$D21/('⚙️ Settings'!$D$11*'⚙️ Settings'!$D$12))</f>
        <v>0.0357142857142857</v>
      </c>
      <c r="H21" s="10" t="str">
        <f aca="false">IF(OR($B21="",$E21=0),"",RANK($E21,$E$12:$E$33))</f>
        <v/>
      </c>
      <c r="J21" s="14" t="n">
        <f aca="true">IF($B21="","",SUMIFS('📅 Daily Tracker'!$F$10:$F$159,'📅 Daily Tracker'!$D$10:$D$159,'⚙️ Settings'!C26,'📅 Daily Tracker'!$B$10:$B$159,"&gt;="&amp;EOMONTH(TODAY(),-1)+1+0,'📅 Daily Tracker'!$B$10:$B$159,"&lt;"&amp;MIN(EOMONTH(TODAY(),0)+1,EOMONTH(TODAY(),-1)+1+7)))</f>
        <v>0</v>
      </c>
      <c r="K21" s="14" t="n">
        <f aca="true">IF($B21="","",SUMIFS('📅 Daily Tracker'!$F$10:$F$159,'📅 Daily Tracker'!$D$10:$D$159,'⚙️ Settings'!C26,'📅 Daily Tracker'!$B$10:$B$159,"&gt;="&amp;EOMONTH(TODAY(),-1)+1+7,'📅 Daily Tracker'!$B$10:$B$159,"&lt;"&amp;MIN(EOMONTH(TODAY(),0)+1,EOMONTH(TODAY(),-1)+1+14)))</f>
        <v>0</v>
      </c>
      <c r="L21" s="14" t="n">
        <f aca="true">IF($B21="","",SUMIFS('📅 Daily Tracker'!$F$10:$F$159,'📅 Daily Tracker'!$D$10:$D$159,'⚙️ Settings'!C26,'📅 Daily Tracker'!$B$10:$B$159,"&gt;="&amp;EOMONTH(TODAY(),-1)+1+14,'📅 Daily Tracker'!$B$10:$B$159,"&lt;"&amp;MIN(EOMONTH(TODAY(),0)+1,EOMONTH(TODAY(),-1)+1+21)))</f>
        <v>0</v>
      </c>
      <c r="M21" s="14" t="n">
        <f aca="true">IF($B21="","",SUMIFS('📅 Daily Tracker'!$F$10:$F$159,'📅 Daily Tracker'!$D$10:$D$159,'⚙️ Settings'!C26,'📅 Daily Tracker'!$B$10:$B$159,"&gt;="&amp;EOMONTH(TODAY(),-1)+1+21,'📅 Daily Tracker'!$B$10:$B$159,"&lt;"&amp;MIN(EOMONTH(TODAY(),0)+1,EOMONTH(TODAY(),-1)+1+28)))</f>
        <v>0</v>
      </c>
      <c r="N21" s="14" t="n">
        <f aca="true">IF($B21="","",SUMIFS('📅 Daily Tracker'!$F$10:$F$159,'📅 Daily Tracker'!$D$10:$D$159,'⚙️ Settings'!C26,'📅 Daily Tracker'!$B$10:$B$159,"&gt;="&amp;EOMONTH(TODAY(),-1)+1+28,'📅 Daily Tracker'!$B$10:$B$159,"&lt;"&amp;MIN(EOMONTH(TODAY(),0)+1,EOMONTH(TODAY(),-1)+1+35)))</f>
        <v>0</v>
      </c>
    </row>
    <row r="22" customFormat="false" ht="15" hidden="false" customHeight="false" outlineLevel="0" collapsed="false">
      <c r="B22" s="11" t="str">
        <f aca="false">IF('⚙️ Settings'!C27="","",'⚙️ Settings'!B27&amp;"  "&amp;'⚙️ Settings'!C27)</f>
        <v>📚  Learning</v>
      </c>
      <c r="C22" s="14" t="n">
        <f aca="false">IF($B22="","",'⚙️ Settings'!D27)</f>
        <v>4.33333333333333</v>
      </c>
      <c r="D22" s="14" t="n">
        <f aca="false">IF($B22="","",$C22*'⚙️ Settings'!$D$12)</f>
        <v>17.3333333333333</v>
      </c>
      <c r="E22" s="12" t="n">
        <f aca="true">IF($B22="","",SUMIFS('📅 Daily Tracker'!$F$10:$F$159,'📅 Daily Tracker'!$D$10:$D$159,'⚙️ Settings'!C27,'📅 Daily Tracker'!$B$10:$B$159,"&gt;="&amp;EOMONTH(TODAY(),-1)+1,'📅 Daily Tracker'!$B$10:$B$159,"&lt;="&amp;EOMONTH(TODAY(),0)))</f>
        <v>0</v>
      </c>
      <c r="F22" s="14" t="n">
        <f aca="false">IF($B22="","",$E22-$D22)</f>
        <v>-17.3333333333333</v>
      </c>
      <c r="G22" s="13" t="n">
        <f aca="false">IF($B22="","",$D22/('⚙️ Settings'!$D$11*'⚙️ Settings'!$D$12))</f>
        <v>0.0257936507936508</v>
      </c>
      <c r="H22" s="10" t="str">
        <f aca="false">IF(OR($B22="",$E22=0),"",RANK($E22,$E$12:$E$33))</f>
        <v/>
      </c>
      <c r="J22" s="14" t="n">
        <f aca="true">IF($B22="","",SUMIFS('📅 Daily Tracker'!$F$10:$F$159,'📅 Daily Tracker'!$D$10:$D$159,'⚙️ Settings'!C27,'📅 Daily Tracker'!$B$10:$B$159,"&gt;="&amp;EOMONTH(TODAY(),-1)+1+0,'📅 Daily Tracker'!$B$10:$B$159,"&lt;"&amp;MIN(EOMONTH(TODAY(),0)+1,EOMONTH(TODAY(),-1)+1+7)))</f>
        <v>0</v>
      </c>
      <c r="K22" s="14" t="n">
        <f aca="true">IF($B22="","",SUMIFS('📅 Daily Tracker'!$F$10:$F$159,'📅 Daily Tracker'!$D$10:$D$159,'⚙️ Settings'!C27,'📅 Daily Tracker'!$B$10:$B$159,"&gt;="&amp;EOMONTH(TODAY(),-1)+1+7,'📅 Daily Tracker'!$B$10:$B$159,"&lt;"&amp;MIN(EOMONTH(TODAY(),0)+1,EOMONTH(TODAY(),-1)+1+14)))</f>
        <v>0</v>
      </c>
      <c r="L22" s="14" t="n">
        <f aca="true">IF($B22="","",SUMIFS('📅 Daily Tracker'!$F$10:$F$159,'📅 Daily Tracker'!$D$10:$D$159,'⚙️ Settings'!C27,'📅 Daily Tracker'!$B$10:$B$159,"&gt;="&amp;EOMONTH(TODAY(),-1)+1+14,'📅 Daily Tracker'!$B$10:$B$159,"&lt;"&amp;MIN(EOMONTH(TODAY(),0)+1,EOMONTH(TODAY(),-1)+1+21)))</f>
        <v>0</v>
      </c>
      <c r="M22" s="14" t="n">
        <f aca="true">IF($B22="","",SUMIFS('📅 Daily Tracker'!$F$10:$F$159,'📅 Daily Tracker'!$D$10:$D$159,'⚙️ Settings'!C27,'📅 Daily Tracker'!$B$10:$B$159,"&gt;="&amp;EOMONTH(TODAY(),-1)+1+21,'📅 Daily Tracker'!$B$10:$B$159,"&lt;"&amp;MIN(EOMONTH(TODAY(),0)+1,EOMONTH(TODAY(),-1)+1+28)))</f>
        <v>0</v>
      </c>
      <c r="N22" s="14" t="n">
        <f aca="true">IF($B22="","",SUMIFS('📅 Daily Tracker'!$F$10:$F$159,'📅 Daily Tracker'!$D$10:$D$159,'⚙️ Settings'!C27,'📅 Daily Tracker'!$B$10:$B$159,"&gt;="&amp;EOMONTH(TODAY(),-1)+1+28,'📅 Daily Tracker'!$B$10:$B$159,"&lt;"&amp;MIN(EOMONTH(TODAY(),0)+1,EOMONTH(TODAY(),-1)+1+35)))</f>
        <v>0</v>
      </c>
    </row>
    <row r="23" customFormat="false" ht="15" hidden="false" customHeight="false" outlineLevel="0" collapsed="false">
      <c r="B23" s="11" t="str">
        <f aca="false">IF('⚙️ Settings'!C28="","",'⚙️ Settings'!B28&amp;"  "&amp;'⚙️ Settings'!C28)</f>
        <v>🌱  Personal Development</v>
      </c>
      <c r="C23" s="14" t="n">
        <f aca="false">IF($B23="","",'⚙️ Settings'!D28)</f>
        <v>3.33333333333333</v>
      </c>
      <c r="D23" s="14" t="n">
        <f aca="false">IF($B23="","",$C23*'⚙️ Settings'!$D$12)</f>
        <v>13.3333333333333</v>
      </c>
      <c r="E23" s="12" t="n">
        <f aca="true">IF($B23="","",SUMIFS('📅 Daily Tracker'!$F$10:$F$159,'📅 Daily Tracker'!$D$10:$D$159,'⚙️ Settings'!C28,'📅 Daily Tracker'!$B$10:$B$159,"&gt;="&amp;EOMONTH(TODAY(),-1)+1,'📅 Daily Tracker'!$B$10:$B$159,"&lt;="&amp;EOMONTH(TODAY(),0)))</f>
        <v>0</v>
      </c>
      <c r="F23" s="14" t="n">
        <f aca="false">IF($B23="","",$E23-$D23)</f>
        <v>-13.3333333333333</v>
      </c>
      <c r="G23" s="13" t="n">
        <f aca="false">IF($B23="","",$D23/('⚙️ Settings'!$D$11*'⚙️ Settings'!$D$12))</f>
        <v>0.0198412698412698</v>
      </c>
      <c r="H23" s="10" t="str">
        <f aca="false">IF(OR($B23="",$E23=0),"",RANK($E23,$E$12:$E$33))</f>
        <v/>
      </c>
      <c r="J23" s="14" t="n">
        <f aca="true">IF($B23="","",SUMIFS('📅 Daily Tracker'!$F$10:$F$159,'📅 Daily Tracker'!$D$10:$D$159,'⚙️ Settings'!C28,'📅 Daily Tracker'!$B$10:$B$159,"&gt;="&amp;EOMONTH(TODAY(),-1)+1+0,'📅 Daily Tracker'!$B$10:$B$159,"&lt;"&amp;MIN(EOMONTH(TODAY(),0)+1,EOMONTH(TODAY(),-1)+1+7)))</f>
        <v>0</v>
      </c>
      <c r="K23" s="14" t="n">
        <f aca="true">IF($B23="","",SUMIFS('📅 Daily Tracker'!$F$10:$F$159,'📅 Daily Tracker'!$D$10:$D$159,'⚙️ Settings'!C28,'📅 Daily Tracker'!$B$10:$B$159,"&gt;="&amp;EOMONTH(TODAY(),-1)+1+7,'📅 Daily Tracker'!$B$10:$B$159,"&lt;"&amp;MIN(EOMONTH(TODAY(),0)+1,EOMONTH(TODAY(),-1)+1+14)))</f>
        <v>0</v>
      </c>
      <c r="L23" s="14" t="n">
        <f aca="true">IF($B23="","",SUMIFS('📅 Daily Tracker'!$F$10:$F$159,'📅 Daily Tracker'!$D$10:$D$159,'⚙️ Settings'!C28,'📅 Daily Tracker'!$B$10:$B$159,"&gt;="&amp;EOMONTH(TODAY(),-1)+1+14,'📅 Daily Tracker'!$B$10:$B$159,"&lt;"&amp;MIN(EOMONTH(TODAY(),0)+1,EOMONTH(TODAY(),-1)+1+21)))</f>
        <v>0</v>
      </c>
      <c r="M23" s="14" t="n">
        <f aca="true">IF($B23="","",SUMIFS('📅 Daily Tracker'!$F$10:$F$159,'📅 Daily Tracker'!$D$10:$D$159,'⚙️ Settings'!C28,'📅 Daily Tracker'!$B$10:$B$159,"&gt;="&amp;EOMONTH(TODAY(),-1)+1+21,'📅 Daily Tracker'!$B$10:$B$159,"&lt;"&amp;MIN(EOMONTH(TODAY(),0)+1,EOMONTH(TODAY(),-1)+1+28)))</f>
        <v>0</v>
      </c>
      <c r="N23" s="14" t="n">
        <f aca="true">IF($B23="","",SUMIFS('📅 Daily Tracker'!$F$10:$F$159,'📅 Daily Tracker'!$D$10:$D$159,'⚙️ Settings'!C28,'📅 Daily Tracker'!$B$10:$B$159,"&gt;="&amp;EOMONTH(TODAY(),-1)+1+28,'📅 Daily Tracker'!$B$10:$B$159,"&lt;"&amp;MIN(EOMONTH(TODAY(),0)+1,EOMONTH(TODAY(),-1)+1+35)))</f>
        <v>0</v>
      </c>
    </row>
    <row r="24" customFormat="false" ht="15" hidden="false" customHeight="false" outlineLevel="0" collapsed="false">
      <c r="B24" s="11" t="str">
        <f aca="false">IF('⚙️ Settings'!C29="","",'⚙️ Settings'!B29&amp;"  "&amp;'⚙️ Settings'!C29)</f>
        <v>🙏  Spiritual</v>
      </c>
      <c r="C24" s="14" t="n">
        <f aca="false">IF($B24="","",'⚙️ Settings'!D29)</f>
        <v>0</v>
      </c>
      <c r="D24" s="14" t="n">
        <f aca="false">IF($B24="","",$C24*'⚙️ Settings'!$D$12)</f>
        <v>0</v>
      </c>
      <c r="E24" s="12" t="n">
        <f aca="true">IF($B24="","",SUMIFS('📅 Daily Tracker'!$F$10:$F$159,'📅 Daily Tracker'!$D$10:$D$159,'⚙️ Settings'!C29,'📅 Daily Tracker'!$B$10:$B$159,"&gt;="&amp;EOMONTH(TODAY(),-1)+1,'📅 Daily Tracker'!$B$10:$B$159,"&lt;="&amp;EOMONTH(TODAY(),0)))</f>
        <v>0</v>
      </c>
      <c r="F24" s="14" t="n">
        <f aca="false">IF($B24="","",$E24-$D24)</f>
        <v>0</v>
      </c>
      <c r="G24" s="13" t="n">
        <f aca="false">IF($B24="","",$D24/('⚙️ Settings'!$D$11*'⚙️ Settings'!$D$12))</f>
        <v>0</v>
      </c>
      <c r="H24" s="10" t="str">
        <f aca="false">IF(OR($B24="",$E24=0),"",RANK($E24,$E$12:$E$33))</f>
        <v/>
      </c>
      <c r="J24" s="14" t="n">
        <f aca="true">IF($B24="","",SUMIFS('📅 Daily Tracker'!$F$10:$F$159,'📅 Daily Tracker'!$D$10:$D$159,'⚙️ Settings'!C29,'📅 Daily Tracker'!$B$10:$B$159,"&gt;="&amp;EOMONTH(TODAY(),-1)+1+0,'📅 Daily Tracker'!$B$10:$B$159,"&lt;"&amp;MIN(EOMONTH(TODAY(),0)+1,EOMONTH(TODAY(),-1)+1+7)))</f>
        <v>0</v>
      </c>
      <c r="K24" s="14" t="n">
        <f aca="true">IF($B24="","",SUMIFS('📅 Daily Tracker'!$F$10:$F$159,'📅 Daily Tracker'!$D$10:$D$159,'⚙️ Settings'!C29,'📅 Daily Tracker'!$B$10:$B$159,"&gt;="&amp;EOMONTH(TODAY(),-1)+1+7,'📅 Daily Tracker'!$B$10:$B$159,"&lt;"&amp;MIN(EOMONTH(TODAY(),0)+1,EOMONTH(TODAY(),-1)+1+14)))</f>
        <v>0</v>
      </c>
      <c r="L24" s="14" t="n">
        <f aca="true">IF($B24="","",SUMIFS('📅 Daily Tracker'!$F$10:$F$159,'📅 Daily Tracker'!$D$10:$D$159,'⚙️ Settings'!C29,'📅 Daily Tracker'!$B$10:$B$159,"&gt;="&amp;EOMONTH(TODAY(),-1)+1+14,'📅 Daily Tracker'!$B$10:$B$159,"&lt;"&amp;MIN(EOMONTH(TODAY(),0)+1,EOMONTH(TODAY(),-1)+1+21)))</f>
        <v>0</v>
      </c>
      <c r="M24" s="14" t="n">
        <f aca="true">IF($B24="","",SUMIFS('📅 Daily Tracker'!$F$10:$F$159,'📅 Daily Tracker'!$D$10:$D$159,'⚙️ Settings'!C29,'📅 Daily Tracker'!$B$10:$B$159,"&gt;="&amp;EOMONTH(TODAY(),-1)+1+21,'📅 Daily Tracker'!$B$10:$B$159,"&lt;"&amp;MIN(EOMONTH(TODAY(),0)+1,EOMONTH(TODAY(),-1)+1+28)))</f>
        <v>0</v>
      </c>
      <c r="N24" s="14" t="n">
        <f aca="true">IF($B24="","",SUMIFS('📅 Daily Tracker'!$F$10:$F$159,'📅 Daily Tracker'!$D$10:$D$159,'⚙️ Settings'!C29,'📅 Daily Tracker'!$B$10:$B$159,"&gt;="&amp;EOMONTH(TODAY(),-1)+1+28,'📅 Daily Tracker'!$B$10:$B$159,"&lt;"&amp;MIN(EOMONTH(TODAY(),0)+1,EOMONTH(TODAY(),-1)+1+35)))</f>
        <v>0</v>
      </c>
    </row>
    <row r="25" customFormat="false" ht="15" hidden="false" customHeight="false" outlineLevel="0" collapsed="false">
      <c r="B25" s="11" t="str">
        <f aca="false">IF('⚙️ Settings'!C30="","",'⚙️ Settings'!B30&amp;"  "&amp;'⚙️ Settings'!C30)</f>
        <v>🚗  Travel</v>
      </c>
      <c r="C25" s="14" t="n">
        <f aca="false">IF($B25="","",'⚙️ Settings'!D30)</f>
        <v>1.5</v>
      </c>
      <c r="D25" s="14" t="n">
        <f aca="false">IF($B25="","",$C25*'⚙️ Settings'!$D$12)</f>
        <v>6</v>
      </c>
      <c r="E25" s="12" t="n">
        <f aca="true">IF($B25="","",SUMIFS('📅 Daily Tracker'!$F$10:$F$159,'📅 Daily Tracker'!$D$10:$D$159,'⚙️ Settings'!C30,'📅 Daily Tracker'!$B$10:$B$159,"&gt;="&amp;EOMONTH(TODAY(),-1)+1,'📅 Daily Tracker'!$B$10:$B$159,"&lt;="&amp;EOMONTH(TODAY(),0)))</f>
        <v>0</v>
      </c>
      <c r="F25" s="14" t="n">
        <f aca="false">IF($B25="","",$E25-$D25)</f>
        <v>-6</v>
      </c>
      <c r="G25" s="13" t="n">
        <f aca="false">IF($B25="","",$D25/('⚙️ Settings'!$D$11*'⚙️ Settings'!$D$12))</f>
        <v>0.00892857142857143</v>
      </c>
      <c r="H25" s="10" t="str">
        <f aca="false">IF(OR($B25="",$E25=0),"",RANK($E25,$E$12:$E$33))</f>
        <v/>
      </c>
      <c r="J25" s="14" t="n">
        <f aca="true">IF($B25="","",SUMIFS('📅 Daily Tracker'!$F$10:$F$159,'📅 Daily Tracker'!$D$10:$D$159,'⚙️ Settings'!C30,'📅 Daily Tracker'!$B$10:$B$159,"&gt;="&amp;EOMONTH(TODAY(),-1)+1+0,'📅 Daily Tracker'!$B$10:$B$159,"&lt;"&amp;MIN(EOMONTH(TODAY(),0)+1,EOMONTH(TODAY(),-1)+1+7)))</f>
        <v>0</v>
      </c>
      <c r="K25" s="14" t="n">
        <f aca="true">IF($B25="","",SUMIFS('📅 Daily Tracker'!$F$10:$F$159,'📅 Daily Tracker'!$D$10:$D$159,'⚙️ Settings'!C30,'📅 Daily Tracker'!$B$10:$B$159,"&gt;="&amp;EOMONTH(TODAY(),-1)+1+7,'📅 Daily Tracker'!$B$10:$B$159,"&lt;"&amp;MIN(EOMONTH(TODAY(),0)+1,EOMONTH(TODAY(),-1)+1+14)))</f>
        <v>0</v>
      </c>
      <c r="L25" s="14" t="n">
        <f aca="true">IF($B25="","",SUMIFS('📅 Daily Tracker'!$F$10:$F$159,'📅 Daily Tracker'!$D$10:$D$159,'⚙️ Settings'!C30,'📅 Daily Tracker'!$B$10:$B$159,"&gt;="&amp;EOMONTH(TODAY(),-1)+1+14,'📅 Daily Tracker'!$B$10:$B$159,"&lt;"&amp;MIN(EOMONTH(TODAY(),0)+1,EOMONTH(TODAY(),-1)+1+21)))</f>
        <v>0</v>
      </c>
      <c r="M25" s="14" t="n">
        <f aca="true">IF($B25="","",SUMIFS('📅 Daily Tracker'!$F$10:$F$159,'📅 Daily Tracker'!$D$10:$D$159,'⚙️ Settings'!C30,'📅 Daily Tracker'!$B$10:$B$159,"&gt;="&amp;EOMONTH(TODAY(),-1)+1+21,'📅 Daily Tracker'!$B$10:$B$159,"&lt;"&amp;MIN(EOMONTH(TODAY(),0)+1,EOMONTH(TODAY(),-1)+1+28)))</f>
        <v>0</v>
      </c>
      <c r="N25" s="14" t="n">
        <f aca="true">IF($B25="","",SUMIFS('📅 Daily Tracker'!$F$10:$F$159,'📅 Daily Tracker'!$D$10:$D$159,'⚙️ Settings'!C30,'📅 Daily Tracker'!$B$10:$B$159,"&gt;="&amp;EOMONTH(TODAY(),-1)+1+28,'📅 Daily Tracker'!$B$10:$B$159,"&lt;"&amp;MIN(EOMONTH(TODAY(),0)+1,EOMONTH(TODAY(),-1)+1+35)))</f>
        <v>0</v>
      </c>
    </row>
    <row r="26" customFormat="false" ht="15" hidden="false" customHeight="false" outlineLevel="0" collapsed="false">
      <c r="B26" s="11" t="str">
        <f aca="false">IF('⚙️ Settings'!C31="","",'⚙️ Settings'!B31&amp;"  "&amp;'⚙️ Settings'!C31)</f>
        <v>🗂️  Admin</v>
      </c>
      <c r="C26" s="14" t="n">
        <f aca="false">IF($B26="","",'⚙️ Settings'!D31)</f>
        <v>2.5</v>
      </c>
      <c r="D26" s="14" t="n">
        <f aca="false">IF($B26="","",$C26*'⚙️ Settings'!$D$12)</f>
        <v>10</v>
      </c>
      <c r="E26" s="12" t="n">
        <f aca="true">IF($B26="","",SUMIFS('📅 Daily Tracker'!$F$10:$F$159,'📅 Daily Tracker'!$D$10:$D$159,'⚙️ Settings'!C31,'📅 Daily Tracker'!$B$10:$B$159,"&gt;="&amp;EOMONTH(TODAY(),-1)+1,'📅 Daily Tracker'!$B$10:$B$159,"&lt;="&amp;EOMONTH(TODAY(),0)))</f>
        <v>0</v>
      </c>
      <c r="F26" s="14" t="n">
        <f aca="false">IF($B26="","",$E26-$D26)</f>
        <v>-10</v>
      </c>
      <c r="G26" s="13" t="n">
        <f aca="false">IF($B26="","",$D26/('⚙️ Settings'!$D$11*'⚙️ Settings'!$D$12))</f>
        <v>0.0148809523809524</v>
      </c>
      <c r="H26" s="10" t="str">
        <f aca="false">IF(OR($B26="",$E26=0),"",RANK($E26,$E$12:$E$33))</f>
        <v/>
      </c>
      <c r="J26" s="14" t="n">
        <f aca="true">IF($B26="","",SUMIFS('📅 Daily Tracker'!$F$10:$F$159,'📅 Daily Tracker'!$D$10:$D$159,'⚙️ Settings'!C31,'📅 Daily Tracker'!$B$10:$B$159,"&gt;="&amp;EOMONTH(TODAY(),-1)+1+0,'📅 Daily Tracker'!$B$10:$B$159,"&lt;"&amp;MIN(EOMONTH(TODAY(),0)+1,EOMONTH(TODAY(),-1)+1+7)))</f>
        <v>0</v>
      </c>
      <c r="K26" s="14" t="n">
        <f aca="true">IF($B26="","",SUMIFS('📅 Daily Tracker'!$F$10:$F$159,'📅 Daily Tracker'!$D$10:$D$159,'⚙️ Settings'!C31,'📅 Daily Tracker'!$B$10:$B$159,"&gt;="&amp;EOMONTH(TODAY(),-1)+1+7,'📅 Daily Tracker'!$B$10:$B$159,"&lt;"&amp;MIN(EOMONTH(TODAY(),0)+1,EOMONTH(TODAY(),-1)+1+14)))</f>
        <v>0</v>
      </c>
      <c r="L26" s="14" t="n">
        <f aca="true">IF($B26="","",SUMIFS('📅 Daily Tracker'!$F$10:$F$159,'📅 Daily Tracker'!$D$10:$D$159,'⚙️ Settings'!C31,'📅 Daily Tracker'!$B$10:$B$159,"&gt;="&amp;EOMONTH(TODAY(),-1)+1+14,'📅 Daily Tracker'!$B$10:$B$159,"&lt;"&amp;MIN(EOMONTH(TODAY(),0)+1,EOMONTH(TODAY(),-1)+1+21)))</f>
        <v>0</v>
      </c>
      <c r="M26" s="14" t="n">
        <f aca="true">IF($B26="","",SUMIFS('📅 Daily Tracker'!$F$10:$F$159,'📅 Daily Tracker'!$D$10:$D$159,'⚙️ Settings'!C31,'📅 Daily Tracker'!$B$10:$B$159,"&gt;="&amp;EOMONTH(TODAY(),-1)+1+21,'📅 Daily Tracker'!$B$10:$B$159,"&lt;"&amp;MIN(EOMONTH(TODAY(),0)+1,EOMONTH(TODAY(),-1)+1+28)))</f>
        <v>0</v>
      </c>
      <c r="N26" s="14" t="n">
        <f aca="true">IF($B26="","",SUMIFS('📅 Daily Tracker'!$F$10:$F$159,'📅 Daily Tracker'!$D$10:$D$159,'⚙️ Settings'!C31,'📅 Daily Tracker'!$B$10:$B$159,"&gt;="&amp;EOMONTH(TODAY(),-1)+1+28,'📅 Daily Tracker'!$B$10:$B$159,"&lt;"&amp;MIN(EOMONTH(TODAY(),0)+1,EOMONTH(TODAY(),-1)+1+35)))</f>
        <v>0</v>
      </c>
    </row>
    <row r="27" customFormat="false" ht="15" hidden="false" customHeight="false" outlineLevel="0" collapsed="false">
      <c r="B27" s="11" t="str">
        <f aca="false">IF('⚙️ Settings'!C32="","",'⚙️ Settings'!B32&amp;"  "&amp;'⚙️ Settings'!C32)</f>
        <v>📈  Business Development</v>
      </c>
      <c r="C27" s="14" t="n">
        <f aca="false">IF($B27="","",'⚙️ Settings'!D32)</f>
        <v>4</v>
      </c>
      <c r="D27" s="14" t="n">
        <f aca="false">IF($B27="","",$C27*'⚙️ Settings'!$D$12)</f>
        <v>16</v>
      </c>
      <c r="E27" s="12" t="n">
        <f aca="true">IF($B27="","",SUMIFS('📅 Daily Tracker'!$F$10:$F$159,'📅 Daily Tracker'!$D$10:$D$159,'⚙️ Settings'!C32,'📅 Daily Tracker'!$B$10:$B$159,"&gt;="&amp;EOMONTH(TODAY(),-1)+1,'📅 Daily Tracker'!$B$10:$B$159,"&lt;="&amp;EOMONTH(TODAY(),0)))</f>
        <v>0</v>
      </c>
      <c r="F27" s="14" t="n">
        <f aca="false">IF($B27="","",$E27-$D27)</f>
        <v>-16</v>
      </c>
      <c r="G27" s="13" t="n">
        <f aca="false">IF($B27="","",$D27/('⚙️ Settings'!$D$11*'⚙️ Settings'!$D$12))</f>
        <v>0.0238095238095238</v>
      </c>
      <c r="H27" s="10" t="str">
        <f aca="false">IF(OR($B27="",$E27=0),"",RANK($E27,$E$12:$E$33))</f>
        <v/>
      </c>
      <c r="J27" s="14" t="n">
        <f aca="true">IF($B27="","",SUMIFS('📅 Daily Tracker'!$F$10:$F$159,'📅 Daily Tracker'!$D$10:$D$159,'⚙️ Settings'!C32,'📅 Daily Tracker'!$B$10:$B$159,"&gt;="&amp;EOMONTH(TODAY(),-1)+1+0,'📅 Daily Tracker'!$B$10:$B$159,"&lt;"&amp;MIN(EOMONTH(TODAY(),0)+1,EOMONTH(TODAY(),-1)+1+7)))</f>
        <v>0</v>
      </c>
      <c r="K27" s="14" t="n">
        <f aca="true">IF($B27="","",SUMIFS('📅 Daily Tracker'!$F$10:$F$159,'📅 Daily Tracker'!$D$10:$D$159,'⚙️ Settings'!C32,'📅 Daily Tracker'!$B$10:$B$159,"&gt;="&amp;EOMONTH(TODAY(),-1)+1+7,'📅 Daily Tracker'!$B$10:$B$159,"&lt;"&amp;MIN(EOMONTH(TODAY(),0)+1,EOMONTH(TODAY(),-1)+1+14)))</f>
        <v>0</v>
      </c>
      <c r="L27" s="14" t="n">
        <f aca="true">IF($B27="","",SUMIFS('📅 Daily Tracker'!$F$10:$F$159,'📅 Daily Tracker'!$D$10:$D$159,'⚙️ Settings'!C32,'📅 Daily Tracker'!$B$10:$B$159,"&gt;="&amp;EOMONTH(TODAY(),-1)+1+14,'📅 Daily Tracker'!$B$10:$B$159,"&lt;"&amp;MIN(EOMONTH(TODAY(),0)+1,EOMONTH(TODAY(),-1)+1+21)))</f>
        <v>0</v>
      </c>
      <c r="M27" s="14" t="n">
        <f aca="true">IF($B27="","",SUMIFS('📅 Daily Tracker'!$F$10:$F$159,'📅 Daily Tracker'!$D$10:$D$159,'⚙️ Settings'!C32,'📅 Daily Tracker'!$B$10:$B$159,"&gt;="&amp;EOMONTH(TODAY(),-1)+1+21,'📅 Daily Tracker'!$B$10:$B$159,"&lt;"&amp;MIN(EOMONTH(TODAY(),0)+1,EOMONTH(TODAY(),-1)+1+28)))</f>
        <v>0</v>
      </c>
      <c r="N27" s="14" t="n">
        <f aca="true">IF($B27="","",SUMIFS('📅 Daily Tracker'!$F$10:$F$159,'📅 Daily Tracker'!$D$10:$D$159,'⚙️ Settings'!C32,'📅 Daily Tracker'!$B$10:$B$159,"&gt;="&amp;EOMONTH(TODAY(),-1)+1+28,'📅 Daily Tracker'!$B$10:$B$159,"&lt;"&amp;MIN(EOMONTH(TODAY(),0)+1,EOMONTH(TODAY(),-1)+1+35)))</f>
        <v>0</v>
      </c>
    </row>
    <row r="28" customFormat="false" ht="15" hidden="false" customHeight="false" outlineLevel="0" collapsed="false">
      <c r="B28" s="11" t="str">
        <f aca="false">IF('⚙️ Settings'!C33="","",'⚙️ Settings'!B33&amp;"  "&amp;'⚙️ Settings'!C33)</f>
        <v>🎬  Content Creation</v>
      </c>
      <c r="C28" s="14" t="n">
        <f aca="false">IF($B28="","",'⚙️ Settings'!D33)</f>
        <v>6</v>
      </c>
      <c r="D28" s="14" t="n">
        <f aca="false">IF($B28="","",$C28*'⚙️ Settings'!$D$12)</f>
        <v>24</v>
      </c>
      <c r="E28" s="12" t="n">
        <f aca="true">IF($B28="","",SUMIFS('📅 Daily Tracker'!$F$10:$F$159,'📅 Daily Tracker'!$D$10:$D$159,'⚙️ Settings'!C33,'📅 Daily Tracker'!$B$10:$B$159,"&gt;="&amp;EOMONTH(TODAY(),-1)+1,'📅 Daily Tracker'!$B$10:$B$159,"&lt;="&amp;EOMONTH(TODAY(),0)))</f>
        <v>0</v>
      </c>
      <c r="F28" s="14" t="n">
        <f aca="false">IF($B28="","",$E28-$D28)</f>
        <v>-24</v>
      </c>
      <c r="G28" s="13" t="n">
        <f aca="false">IF($B28="","",$D28/('⚙️ Settings'!$D$11*'⚙️ Settings'!$D$12))</f>
        <v>0.0357142857142857</v>
      </c>
      <c r="H28" s="10" t="str">
        <f aca="false">IF(OR($B28="",$E28=0),"",RANK($E28,$E$12:$E$33))</f>
        <v/>
      </c>
      <c r="J28" s="14" t="n">
        <f aca="true">IF($B28="","",SUMIFS('📅 Daily Tracker'!$F$10:$F$159,'📅 Daily Tracker'!$D$10:$D$159,'⚙️ Settings'!C33,'📅 Daily Tracker'!$B$10:$B$159,"&gt;="&amp;EOMONTH(TODAY(),-1)+1+0,'📅 Daily Tracker'!$B$10:$B$159,"&lt;"&amp;MIN(EOMONTH(TODAY(),0)+1,EOMONTH(TODAY(),-1)+1+7)))</f>
        <v>0</v>
      </c>
      <c r="K28" s="14" t="n">
        <f aca="true">IF($B28="","",SUMIFS('📅 Daily Tracker'!$F$10:$F$159,'📅 Daily Tracker'!$D$10:$D$159,'⚙️ Settings'!C33,'📅 Daily Tracker'!$B$10:$B$159,"&gt;="&amp;EOMONTH(TODAY(),-1)+1+7,'📅 Daily Tracker'!$B$10:$B$159,"&lt;"&amp;MIN(EOMONTH(TODAY(),0)+1,EOMONTH(TODAY(),-1)+1+14)))</f>
        <v>0</v>
      </c>
      <c r="L28" s="14" t="n">
        <f aca="true">IF($B28="","",SUMIFS('📅 Daily Tracker'!$F$10:$F$159,'📅 Daily Tracker'!$D$10:$D$159,'⚙️ Settings'!C33,'📅 Daily Tracker'!$B$10:$B$159,"&gt;="&amp;EOMONTH(TODAY(),-1)+1+14,'📅 Daily Tracker'!$B$10:$B$159,"&lt;"&amp;MIN(EOMONTH(TODAY(),0)+1,EOMONTH(TODAY(),-1)+1+21)))</f>
        <v>0</v>
      </c>
      <c r="M28" s="14" t="n">
        <f aca="true">IF($B28="","",SUMIFS('📅 Daily Tracker'!$F$10:$F$159,'📅 Daily Tracker'!$D$10:$D$159,'⚙️ Settings'!C33,'📅 Daily Tracker'!$B$10:$B$159,"&gt;="&amp;EOMONTH(TODAY(),-1)+1+21,'📅 Daily Tracker'!$B$10:$B$159,"&lt;"&amp;MIN(EOMONTH(TODAY(),0)+1,EOMONTH(TODAY(),-1)+1+28)))</f>
        <v>0</v>
      </c>
      <c r="N28" s="14" t="n">
        <f aca="true">IF($B28="","",SUMIFS('📅 Daily Tracker'!$F$10:$F$159,'📅 Daily Tracker'!$D$10:$D$159,'⚙️ Settings'!C33,'📅 Daily Tracker'!$B$10:$B$159,"&gt;="&amp;EOMONTH(TODAY(),-1)+1+28,'📅 Daily Tracker'!$B$10:$B$159,"&lt;"&amp;MIN(EOMONTH(TODAY(),0)+1,EOMONTH(TODAY(),-1)+1+35)))</f>
        <v>0</v>
      </c>
    </row>
    <row r="29" customFormat="false" ht="15" hidden="false" customHeight="false" outlineLevel="0" collapsed="false">
      <c r="B29" s="11" t="str">
        <f aca="false">IF('⚙️ Settings'!C34="","",'⚙️ Settings'!B34&amp;"  "&amp;'⚙️ Settings'!C34)</f>
        <v/>
      </c>
      <c r="C29" s="14" t="str">
        <f aca="false">IF($B29="","",'⚙️ Settings'!D34)</f>
        <v/>
      </c>
      <c r="D29" s="14" t="str">
        <f aca="false">IF($B29="","",$C29*'⚙️ Settings'!$D$12)</f>
        <v/>
      </c>
      <c r="E29" s="12" t="str">
        <f aca="true">IF($B29="","",SUMIFS('📅 Daily Tracker'!$F$10:$F$159,'📅 Daily Tracker'!$D$10:$D$159,'⚙️ Settings'!C34,'📅 Daily Tracker'!$B$10:$B$159,"&gt;="&amp;EOMONTH(TODAY(),-1)+1,'📅 Daily Tracker'!$B$10:$B$159,"&lt;="&amp;EOMONTH(TODAY(),0)))</f>
        <v/>
      </c>
      <c r="F29" s="14" t="str">
        <f aca="false">IF($B29="","",$E29-$D29)</f>
        <v/>
      </c>
      <c r="G29" s="13" t="str">
        <f aca="false">IF($B29="","",$D29/('⚙️ Settings'!$D$11*'⚙️ Settings'!$D$12))</f>
        <v/>
      </c>
      <c r="H29" s="10" t="str">
        <f aca="false">IF(OR($B29="",$E29=0),"",RANK($E29,$E$12:$E$33))</f>
        <v/>
      </c>
      <c r="J29" s="14" t="str">
        <f aca="true">IF($B29="","",SUMIFS('📅 Daily Tracker'!$F$10:$F$159,'📅 Daily Tracker'!$D$10:$D$159,'⚙️ Settings'!C34,'📅 Daily Tracker'!$B$10:$B$159,"&gt;="&amp;EOMONTH(TODAY(),-1)+1+0,'📅 Daily Tracker'!$B$10:$B$159,"&lt;"&amp;MIN(EOMONTH(TODAY(),0)+1,EOMONTH(TODAY(),-1)+1+7)))</f>
        <v/>
      </c>
      <c r="K29" s="14" t="str">
        <f aca="true">IF($B29="","",SUMIFS('📅 Daily Tracker'!$F$10:$F$159,'📅 Daily Tracker'!$D$10:$D$159,'⚙️ Settings'!C34,'📅 Daily Tracker'!$B$10:$B$159,"&gt;="&amp;EOMONTH(TODAY(),-1)+1+7,'📅 Daily Tracker'!$B$10:$B$159,"&lt;"&amp;MIN(EOMONTH(TODAY(),0)+1,EOMONTH(TODAY(),-1)+1+14)))</f>
        <v/>
      </c>
      <c r="L29" s="14" t="str">
        <f aca="true">IF($B29="","",SUMIFS('📅 Daily Tracker'!$F$10:$F$159,'📅 Daily Tracker'!$D$10:$D$159,'⚙️ Settings'!C34,'📅 Daily Tracker'!$B$10:$B$159,"&gt;="&amp;EOMONTH(TODAY(),-1)+1+14,'📅 Daily Tracker'!$B$10:$B$159,"&lt;"&amp;MIN(EOMONTH(TODAY(),0)+1,EOMONTH(TODAY(),-1)+1+21)))</f>
        <v/>
      </c>
      <c r="M29" s="14" t="str">
        <f aca="true">IF($B29="","",SUMIFS('📅 Daily Tracker'!$F$10:$F$159,'📅 Daily Tracker'!$D$10:$D$159,'⚙️ Settings'!C34,'📅 Daily Tracker'!$B$10:$B$159,"&gt;="&amp;EOMONTH(TODAY(),-1)+1+21,'📅 Daily Tracker'!$B$10:$B$159,"&lt;"&amp;MIN(EOMONTH(TODAY(),0)+1,EOMONTH(TODAY(),-1)+1+28)))</f>
        <v/>
      </c>
      <c r="N29" s="14" t="str">
        <f aca="true">IF($B29="","",SUMIFS('📅 Daily Tracker'!$F$10:$F$159,'📅 Daily Tracker'!$D$10:$D$159,'⚙️ Settings'!C34,'📅 Daily Tracker'!$B$10:$B$159,"&gt;="&amp;EOMONTH(TODAY(),-1)+1+28,'📅 Daily Tracker'!$B$10:$B$159,"&lt;"&amp;MIN(EOMONTH(TODAY(),0)+1,EOMONTH(TODAY(),-1)+1+35)))</f>
        <v/>
      </c>
    </row>
    <row r="30" customFormat="false" ht="15" hidden="false" customHeight="false" outlineLevel="0" collapsed="false">
      <c r="B30" s="11" t="str">
        <f aca="false">IF('⚙️ Settings'!C35="","",'⚙️ Settings'!B35&amp;"  "&amp;'⚙️ Settings'!C35)</f>
        <v/>
      </c>
      <c r="C30" s="14" t="str">
        <f aca="false">IF($B30="","",'⚙️ Settings'!D35)</f>
        <v/>
      </c>
      <c r="D30" s="14" t="str">
        <f aca="false">IF($B30="","",$C30*'⚙️ Settings'!$D$12)</f>
        <v/>
      </c>
      <c r="E30" s="12" t="str">
        <f aca="true">IF($B30="","",SUMIFS('📅 Daily Tracker'!$F$10:$F$159,'📅 Daily Tracker'!$D$10:$D$159,'⚙️ Settings'!C35,'📅 Daily Tracker'!$B$10:$B$159,"&gt;="&amp;EOMONTH(TODAY(),-1)+1,'📅 Daily Tracker'!$B$10:$B$159,"&lt;="&amp;EOMONTH(TODAY(),0)))</f>
        <v/>
      </c>
      <c r="F30" s="14" t="str">
        <f aca="false">IF($B30="","",$E30-$D30)</f>
        <v/>
      </c>
      <c r="G30" s="13" t="str">
        <f aca="false">IF($B30="","",$D30/('⚙️ Settings'!$D$11*'⚙️ Settings'!$D$12))</f>
        <v/>
      </c>
      <c r="H30" s="10" t="str">
        <f aca="false">IF(OR($B30="",$E30=0),"",RANK($E30,$E$12:$E$33))</f>
        <v/>
      </c>
      <c r="J30" s="14" t="str">
        <f aca="true">IF($B30="","",SUMIFS('📅 Daily Tracker'!$F$10:$F$159,'📅 Daily Tracker'!$D$10:$D$159,'⚙️ Settings'!C35,'📅 Daily Tracker'!$B$10:$B$159,"&gt;="&amp;EOMONTH(TODAY(),-1)+1+0,'📅 Daily Tracker'!$B$10:$B$159,"&lt;"&amp;MIN(EOMONTH(TODAY(),0)+1,EOMONTH(TODAY(),-1)+1+7)))</f>
        <v/>
      </c>
      <c r="K30" s="14" t="str">
        <f aca="true">IF($B30="","",SUMIFS('📅 Daily Tracker'!$F$10:$F$159,'📅 Daily Tracker'!$D$10:$D$159,'⚙️ Settings'!C35,'📅 Daily Tracker'!$B$10:$B$159,"&gt;="&amp;EOMONTH(TODAY(),-1)+1+7,'📅 Daily Tracker'!$B$10:$B$159,"&lt;"&amp;MIN(EOMONTH(TODAY(),0)+1,EOMONTH(TODAY(),-1)+1+14)))</f>
        <v/>
      </c>
      <c r="L30" s="14" t="str">
        <f aca="true">IF($B30="","",SUMIFS('📅 Daily Tracker'!$F$10:$F$159,'📅 Daily Tracker'!$D$10:$D$159,'⚙️ Settings'!C35,'📅 Daily Tracker'!$B$10:$B$159,"&gt;="&amp;EOMONTH(TODAY(),-1)+1+14,'📅 Daily Tracker'!$B$10:$B$159,"&lt;"&amp;MIN(EOMONTH(TODAY(),0)+1,EOMONTH(TODAY(),-1)+1+21)))</f>
        <v/>
      </c>
      <c r="M30" s="14" t="str">
        <f aca="true">IF($B30="","",SUMIFS('📅 Daily Tracker'!$F$10:$F$159,'📅 Daily Tracker'!$D$10:$D$159,'⚙️ Settings'!C35,'📅 Daily Tracker'!$B$10:$B$159,"&gt;="&amp;EOMONTH(TODAY(),-1)+1+21,'📅 Daily Tracker'!$B$10:$B$159,"&lt;"&amp;MIN(EOMONTH(TODAY(),0)+1,EOMONTH(TODAY(),-1)+1+28)))</f>
        <v/>
      </c>
      <c r="N30" s="14" t="str">
        <f aca="true">IF($B30="","",SUMIFS('📅 Daily Tracker'!$F$10:$F$159,'📅 Daily Tracker'!$D$10:$D$159,'⚙️ Settings'!C35,'📅 Daily Tracker'!$B$10:$B$159,"&gt;="&amp;EOMONTH(TODAY(),-1)+1+28,'📅 Daily Tracker'!$B$10:$B$159,"&lt;"&amp;MIN(EOMONTH(TODAY(),0)+1,EOMONTH(TODAY(),-1)+1+35)))</f>
        <v/>
      </c>
    </row>
    <row r="31" customFormat="false" ht="15" hidden="false" customHeight="false" outlineLevel="0" collapsed="false">
      <c r="B31" s="11" t="str">
        <f aca="false">IF('⚙️ Settings'!C36="","",'⚙️ Settings'!B36&amp;"  "&amp;'⚙️ Settings'!C36)</f>
        <v/>
      </c>
      <c r="C31" s="14" t="str">
        <f aca="false">IF($B31="","",'⚙️ Settings'!D36)</f>
        <v/>
      </c>
      <c r="D31" s="14" t="str">
        <f aca="false">IF($B31="","",$C31*'⚙️ Settings'!$D$12)</f>
        <v/>
      </c>
      <c r="E31" s="12" t="str">
        <f aca="true">IF($B31="","",SUMIFS('📅 Daily Tracker'!$F$10:$F$159,'📅 Daily Tracker'!$D$10:$D$159,'⚙️ Settings'!C36,'📅 Daily Tracker'!$B$10:$B$159,"&gt;="&amp;EOMONTH(TODAY(),-1)+1,'📅 Daily Tracker'!$B$10:$B$159,"&lt;="&amp;EOMONTH(TODAY(),0)))</f>
        <v/>
      </c>
      <c r="F31" s="14" t="str">
        <f aca="false">IF($B31="","",$E31-$D31)</f>
        <v/>
      </c>
      <c r="G31" s="13" t="str">
        <f aca="false">IF($B31="","",$D31/('⚙️ Settings'!$D$11*'⚙️ Settings'!$D$12))</f>
        <v/>
      </c>
      <c r="H31" s="10" t="str">
        <f aca="false">IF(OR($B31="",$E31=0),"",RANK($E31,$E$12:$E$33))</f>
        <v/>
      </c>
      <c r="J31" s="14" t="str">
        <f aca="true">IF($B31="","",SUMIFS('📅 Daily Tracker'!$F$10:$F$159,'📅 Daily Tracker'!$D$10:$D$159,'⚙️ Settings'!C36,'📅 Daily Tracker'!$B$10:$B$159,"&gt;="&amp;EOMONTH(TODAY(),-1)+1+0,'📅 Daily Tracker'!$B$10:$B$159,"&lt;"&amp;MIN(EOMONTH(TODAY(),0)+1,EOMONTH(TODAY(),-1)+1+7)))</f>
        <v/>
      </c>
      <c r="K31" s="14" t="str">
        <f aca="true">IF($B31="","",SUMIFS('📅 Daily Tracker'!$F$10:$F$159,'📅 Daily Tracker'!$D$10:$D$159,'⚙️ Settings'!C36,'📅 Daily Tracker'!$B$10:$B$159,"&gt;="&amp;EOMONTH(TODAY(),-1)+1+7,'📅 Daily Tracker'!$B$10:$B$159,"&lt;"&amp;MIN(EOMONTH(TODAY(),0)+1,EOMONTH(TODAY(),-1)+1+14)))</f>
        <v/>
      </c>
      <c r="L31" s="14" t="str">
        <f aca="true">IF($B31="","",SUMIFS('📅 Daily Tracker'!$F$10:$F$159,'📅 Daily Tracker'!$D$10:$D$159,'⚙️ Settings'!C36,'📅 Daily Tracker'!$B$10:$B$159,"&gt;="&amp;EOMONTH(TODAY(),-1)+1+14,'📅 Daily Tracker'!$B$10:$B$159,"&lt;"&amp;MIN(EOMONTH(TODAY(),0)+1,EOMONTH(TODAY(),-1)+1+21)))</f>
        <v/>
      </c>
      <c r="M31" s="14" t="str">
        <f aca="true">IF($B31="","",SUMIFS('📅 Daily Tracker'!$F$10:$F$159,'📅 Daily Tracker'!$D$10:$D$159,'⚙️ Settings'!C36,'📅 Daily Tracker'!$B$10:$B$159,"&gt;="&amp;EOMONTH(TODAY(),-1)+1+21,'📅 Daily Tracker'!$B$10:$B$159,"&lt;"&amp;MIN(EOMONTH(TODAY(),0)+1,EOMONTH(TODAY(),-1)+1+28)))</f>
        <v/>
      </c>
      <c r="N31" s="14" t="str">
        <f aca="true">IF($B31="","",SUMIFS('📅 Daily Tracker'!$F$10:$F$159,'📅 Daily Tracker'!$D$10:$D$159,'⚙️ Settings'!C36,'📅 Daily Tracker'!$B$10:$B$159,"&gt;="&amp;EOMONTH(TODAY(),-1)+1+28,'📅 Daily Tracker'!$B$10:$B$159,"&lt;"&amp;MIN(EOMONTH(TODAY(),0)+1,EOMONTH(TODAY(),-1)+1+35)))</f>
        <v/>
      </c>
    </row>
    <row r="32" customFormat="false" ht="15" hidden="false" customHeight="false" outlineLevel="0" collapsed="false">
      <c r="B32" s="11" t="str">
        <f aca="false">IF('⚙️ Settings'!C37="","",'⚙️ Settings'!B37&amp;"  "&amp;'⚙️ Settings'!C37)</f>
        <v/>
      </c>
      <c r="C32" s="14" t="str">
        <f aca="false">IF($B32="","",'⚙️ Settings'!D37)</f>
        <v/>
      </c>
      <c r="D32" s="14" t="str">
        <f aca="false">IF($B32="","",$C32*'⚙️ Settings'!$D$12)</f>
        <v/>
      </c>
      <c r="E32" s="12" t="str">
        <f aca="true">IF($B32="","",SUMIFS('📅 Daily Tracker'!$F$10:$F$159,'📅 Daily Tracker'!$D$10:$D$159,'⚙️ Settings'!C37,'📅 Daily Tracker'!$B$10:$B$159,"&gt;="&amp;EOMONTH(TODAY(),-1)+1,'📅 Daily Tracker'!$B$10:$B$159,"&lt;="&amp;EOMONTH(TODAY(),0)))</f>
        <v/>
      </c>
      <c r="F32" s="14" t="str">
        <f aca="false">IF($B32="","",$E32-$D32)</f>
        <v/>
      </c>
      <c r="G32" s="13" t="str">
        <f aca="false">IF($B32="","",$D32/('⚙️ Settings'!$D$11*'⚙️ Settings'!$D$12))</f>
        <v/>
      </c>
      <c r="H32" s="10" t="str">
        <f aca="false">IF(OR($B32="",$E32=0),"",RANK($E32,$E$12:$E$33))</f>
        <v/>
      </c>
      <c r="J32" s="14" t="str">
        <f aca="true">IF($B32="","",SUMIFS('📅 Daily Tracker'!$F$10:$F$159,'📅 Daily Tracker'!$D$10:$D$159,'⚙️ Settings'!C37,'📅 Daily Tracker'!$B$10:$B$159,"&gt;="&amp;EOMONTH(TODAY(),-1)+1+0,'📅 Daily Tracker'!$B$10:$B$159,"&lt;"&amp;MIN(EOMONTH(TODAY(),0)+1,EOMONTH(TODAY(),-1)+1+7)))</f>
        <v/>
      </c>
      <c r="K32" s="14" t="str">
        <f aca="true">IF($B32="","",SUMIFS('📅 Daily Tracker'!$F$10:$F$159,'📅 Daily Tracker'!$D$10:$D$159,'⚙️ Settings'!C37,'📅 Daily Tracker'!$B$10:$B$159,"&gt;="&amp;EOMONTH(TODAY(),-1)+1+7,'📅 Daily Tracker'!$B$10:$B$159,"&lt;"&amp;MIN(EOMONTH(TODAY(),0)+1,EOMONTH(TODAY(),-1)+1+14)))</f>
        <v/>
      </c>
      <c r="L32" s="14" t="str">
        <f aca="true">IF($B32="","",SUMIFS('📅 Daily Tracker'!$F$10:$F$159,'📅 Daily Tracker'!$D$10:$D$159,'⚙️ Settings'!C37,'📅 Daily Tracker'!$B$10:$B$159,"&gt;="&amp;EOMONTH(TODAY(),-1)+1+14,'📅 Daily Tracker'!$B$10:$B$159,"&lt;"&amp;MIN(EOMONTH(TODAY(),0)+1,EOMONTH(TODAY(),-1)+1+21)))</f>
        <v/>
      </c>
      <c r="M32" s="14" t="str">
        <f aca="true">IF($B32="","",SUMIFS('📅 Daily Tracker'!$F$10:$F$159,'📅 Daily Tracker'!$D$10:$D$159,'⚙️ Settings'!C37,'📅 Daily Tracker'!$B$10:$B$159,"&gt;="&amp;EOMONTH(TODAY(),-1)+1+21,'📅 Daily Tracker'!$B$10:$B$159,"&lt;"&amp;MIN(EOMONTH(TODAY(),0)+1,EOMONTH(TODAY(),-1)+1+28)))</f>
        <v/>
      </c>
      <c r="N32" s="14" t="str">
        <f aca="true">IF($B32="","",SUMIFS('📅 Daily Tracker'!$F$10:$F$159,'📅 Daily Tracker'!$D$10:$D$159,'⚙️ Settings'!C37,'📅 Daily Tracker'!$B$10:$B$159,"&gt;="&amp;EOMONTH(TODAY(),-1)+1+28,'📅 Daily Tracker'!$B$10:$B$159,"&lt;"&amp;MIN(EOMONTH(TODAY(),0)+1,EOMONTH(TODAY(),-1)+1+35)))</f>
        <v/>
      </c>
    </row>
    <row r="33" customFormat="false" ht="15" hidden="false" customHeight="false" outlineLevel="0" collapsed="false">
      <c r="B33" s="11" t="str">
        <f aca="false">IF('⚙️ Settings'!C38="","",'⚙️ Settings'!B38&amp;"  "&amp;'⚙️ Settings'!C38)</f>
        <v/>
      </c>
      <c r="C33" s="14" t="str">
        <f aca="false">IF($B33="","",'⚙️ Settings'!D38)</f>
        <v/>
      </c>
      <c r="D33" s="14" t="str">
        <f aca="false">IF($B33="","",$C33*'⚙️ Settings'!$D$12)</f>
        <v/>
      </c>
      <c r="E33" s="12" t="str">
        <f aca="true">IF($B33="","",SUMIFS('📅 Daily Tracker'!$F$10:$F$159,'📅 Daily Tracker'!$D$10:$D$159,'⚙️ Settings'!C38,'📅 Daily Tracker'!$B$10:$B$159,"&gt;="&amp;EOMONTH(TODAY(),-1)+1,'📅 Daily Tracker'!$B$10:$B$159,"&lt;="&amp;EOMONTH(TODAY(),0)))</f>
        <v/>
      </c>
      <c r="F33" s="14" t="str">
        <f aca="false">IF($B33="","",$E33-$D33)</f>
        <v/>
      </c>
      <c r="G33" s="13" t="str">
        <f aca="false">IF($B33="","",$D33/('⚙️ Settings'!$D$11*'⚙️ Settings'!$D$12))</f>
        <v/>
      </c>
      <c r="H33" s="10" t="str">
        <f aca="false">IF(OR($B33="",$E33=0),"",RANK($E33,$E$12:$E$33))</f>
        <v/>
      </c>
      <c r="J33" s="14" t="str">
        <f aca="true">IF($B33="","",SUMIFS('📅 Daily Tracker'!$F$10:$F$159,'📅 Daily Tracker'!$D$10:$D$159,'⚙️ Settings'!C38,'📅 Daily Tracker'!$B$10:$B$159,"&gt;="&amp;EOMONTH(TODAY(),-1)+1+0,'📅 Daily Tracker'!$B$10:$B$159,"&lt;"&amp;MIN(EOMONTH(TODAY(),0)+1,EOMONTH(TODAY(),-1)+1+7)))</f>
        <v/>
      </c>
      <c r="K33" s="14" t="str">
        <f aca="true">IF($B33="","",SUMIFS('📅 Daily Tracker'!$F$10:$F$159,'📅 Daily Tracker'!$D$10:$D$159,'⚙️ Settings'!C38,'📅 Daily Tracker'!$B$10:$B$159,"&gt;="&amp;EOMONTH(TODAY(),-1)+1+7,'📅 Daily Tracker'!$B$10:$B$159,"&lt;"&amp;MIN(EOMONTH(TODAY(),0)+1,EOMONTH(TODAY(),-1)+1+14)))</f>
        <v/>
      </c>
      <c r="L33" s="14" t="str">
        <f aca="true">IF($B33="","",SUMIFS('📅 Daily Tracker'!$F$10:$F$159,'📅 Daily Tracker'!$D$10:$D$159,'⚙️ Settings'!C38,'📅 Daily Tracker'!$B$10:$B$159,"&gt;="&amp;EOMONTH(TODAY(),-1)+1+14,'📅 Daily Tracker'!$B$10:$B$159,"&lt;"&amp;MIN(EOMONTH(TODAY(),0)+1,EOMONTH(TODAY(),-1)+1+21)))</f>
        <v/>
      </c>
      <c r="M33" s="14" t="str">
        <f aca="true">IF($B33="","",SUMIFS('📅 Daily Tracker'!$F$10:$F$159,'📅 Daily Tracker'!$D$10:$D$159,'⚙️ Settings'!C38,'📅 Daily Tracker'!$B$10:$B$159,"&gt;="&amp;EOMONTH(TODAY(),-1)+1+21,'📅 Daily Tracker'!$B$10:$B$159,"&lt;"&amp;MIN(EOMONTH(TODAY(),0)+1,EOMONTH(TODAY(),-1)+1+28)))</f>
        <v/>
      </c>
      <c r="N33" s="14" t="str">
        <f aca="true">IF($B33="","",SUMIFS('📅 Daily Tracker'!$F$10:$F$159,'📅 Daily Tracker'!$D$10:$D$159,'⚙️ Settings'!C38,'📅 Daily Tracker'!$B$10:$B$159,"&gt;="&amp;EOMONTH(TODAY(),-1)+1+28,'📅 Daily Tracker'!$B$10:$B$159,"&lt;"&amp;MIN(EOMONTH(TODAY(),0)+1,EOMONTH(TODAY(),-1)+1+35)))</f>
        <v/>
      </c>
    </row>
    <row r="35" customFormat="false" ht="15" hidden="false" customHeight="false" outlineLevel="0" collapsed="false">
      <c r="B35" s="20" t="s">
        <v>255</v>
      </c>
      <c r="D35" s="21" t="n">
        <f aca="false">SUM(D12:D33)</f>
        <v>627</v>
      </c>
      <c r="E35" s="21" t="n">
        <f aca="false">SUM(E12:E33)</f>
        <v>0</v>
      </c>
    </row>
    <row r="37" customFormat="false" ht="21.75" hidden="false" customHeight="true" outlineLevel="0" collapsed="false">
      <c r="B37" s="3" t="s">
        <v>256</v>
      </c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B38" s="4" t="str">
        <f aca="false">IF(SUM($E$12:$E$33)=0,"Log days on the 📅 Daily Tracker to unlock monthly insights.","🏆  Biggest time investment this month: "&amp;INDEX($B$12:$B$33,MATCH(MAX($E$12:$E$33),$E$12:$E$33,0))&amp;"  ("&amp;TEXT(MAX($E$12:$E$33),"0.0")&amp;" h logged)")</f>
        <v>Log days on the 📅 Daily Tracker to unlock monthly insights.</v>
      </c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B39" s="4" t="str">
        <f aca="false">IF(SUM($E$12:$E$33)=0,"",IF(MAX($F$12:$F$33)&lt;=0,"✅  No category is over its monthly plan.","🔺  Most over plan: "&amp;INDEX($B$12:$B$33,MATCH(MAX($F$12:$F$33),$F$12:$F$33,0))&amp;"  (+"&amp;TEXT(MAX($F$12:$F$33),"0.0")&amp;" h)"))</f>
        <v/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B40" s="4" t="str">
        <f aca="false">IF(SUM($E$12:$E$33)=0,"","🔻  Most behind plan: "&amp;INDEX($B$12:$B$33,MATCH(MIN($F$12:$F$33),$F$12:$F$33,0))&amp;"  ("&amp;TEXT(MIN($F$12:$F$33),"0.0")&amp;" h)")</f>
        <v/>
      </c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B41" s="4" t="str">
        <f aca="false">"⚖️  Month utilization so far: "&amp;TEXT(SUM($E$12:$E$33)/('⚙️ Settings'!$D$11*'⚙️ Settings'!$D$12),"0.0%")&amp;" of "&amp;ROUND('⚙️ Settings'!$D$11*'⚙️ Settings'!$D$12,0)&amp;" hours."</f>
        <v>⚖️  Month utilization so far: 0.0% of 672 hours.</v>
      </c>
      <c r="C41" s="4"/>
      <c r="D41" s="4"/>
      <c r="E41" s="4"/>
      <c r="F41" s="4"/>
      <c r="G41" s="4"/>
      <c r="H41" s="4"/>
    </row>
  </sheetData>
  <mergeCells count="9">
    <mergeCell ref="B6:J6"/>
    <mergeCell ref="B9:E9"/>
    <mergeCell ref="B10:H10"/>
    <mergeCell ref="J10:N10"/>
    <mergeCell ref="B37:H37"/>
    <mergeCell ref="B38:H38"/>
    <mergeCell ref="B39:H39"/>
    <mergeCell ref="B40:H40"/>
    <mergeCell ref="B41:H41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B5AE"/>
    <pageSetUpPr fitToPage="false"/>
  </sheetPr>
  <dimension ref="B2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0"/>
  </cols>
  <sheetData>
    <row r="2" customFormat="false" ht="19.7" hidden="false" customHeight="false" outlineLevel="0" collapsed="false">
      <c r="B2" s="1" t="s">
        <v>257</v>
      </c>
    </row>
    <row r="3" customFormat="false" ht="15" hidden="false" customHeight="false" outlineLevel="0" collapsed="false">
      <c r="B3" s="2" t="s">
        <v>258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8" customFormat="false" ht="21.75" hidden="false" customHeight="true" outlineLevel="0" collapsed="false">
      <c r="B8" s="3" t="s">
        <v>259</v>
      </c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B9" s="8" t="s">
        <v>15</v>
      </c>
      <c r="C9" s="9" t="s">
        <v>260</v>
      </c>
      <c r="D9" s="9" t="s">
        <v>261</v>
      </c>
      <c r="E9" s="9" t="s">
        <v>262</v>
      </c>
      <c r="F9" s="9" t="s">
        <v>263</v>
      </c>
      <c r="G9" s="9" t="s">
        <v>264</v>
      </c>
      <c r="H9" s="9" t="s">
        <v>265</v>
      </c>
      <c r="I9" s="9" t="s">
        <v>266</v>
      </c>
    </row>
    <row r="10" customFormat="false" ht="15" hidden="false" customHeight="false" outlineLevel="0" collapsed="false">
      <c r="B10" s="11" t="str">
        <f aca="false">IF('⚙️ Settings'!C17="","",'⚙️ Settings'!B17&amp;"  "&amp;'⚙️ Settings'!C17)</f>
        <v>😴  Sleep</v>
      </c>
      <c r="C10" s="14" t="n">
        <f aca="false">IF($B10="","",'⚙️ Settings'!D17)</f>
        <v>57.1666666666667</v>
      </c>
      <c r="D10" s="48" t="n">
        <f aca="false">IF($B10="","",$C10*'⚙️ Settings'!$D$13)</f>
        <v>2972.66666666667</v>
      </c>
      <c r="E10" s="49" t="n">
        <f aca="true">IF($B10="","",SUMIFS('📅 Daily Tracker'!$F$10:$F$159,'📅 Daily Tracker'!$D$10:$D$159,'⚙️ Settings'!C17,'📅 Daily Tracker'!$B$10:$B$159,"&gt;="&amp;DATE(YEAR(TODAY()),1,1)))</f>
        <v>0</v>
      </c>
      <c r="F10" s="37" t="n">
        <f aca="true">IF(OR($B10="",$C10=0),"",$E10/($C10*MAX(1,ROUNDUP((TODAY()-DATE(YEAR(TODAY()),1,1)+1)/7,0))))</f>
        <v>0</v>
      </c>
      <c r="G10" s="14" t="n">
        <f aca="false">IF($B10="","",$D10/'⚙️ Settings'!$D$10)</f>
        <v>123.861111111111</v>
      </c>
      <c r="H10" s="13" t="n">
        <f aca="false">IF($B10="","",$C10/'⚙️ Settings'!$D$11)</f>
        <v>0.340277777777778</v>
      </c>
      <c r="I10" s="10" t="str">
        <f aca="false">IF($B10="","",'⚙️ Settings'!J17)</f>
        <v>✅ OK</v>
      </c>
    </row>
    <row r="11" customFormat="false" ht="15" hidden="false" customHeight="false" outlineLevel="0" collapsed="false">
      <c r="B11" s="11" t="str">
        <f aca="false">IF('⚙️ Settings'!C18="","",'⚙️ Settings'!B18&amp;"  "&amp;'⚙️ Settings'!C18)</f>
        <v>💼  Work</v>
      </c>
      <c r="C11" s="14" t="n">
        <f aca="false">IF($B11="","",'⚙️ Settings'!D18)</f>
        <v>23</v>
      </c>
      <c r="D11" s="48" t="n">
        <f aca="false">IF($B11="","",$C11*'⚙️ Settings'!$D$13)</f>
        <v>1196</v>
      </c>
      <c r="E11" s="49" t="n">
        <f aca="true">IF($B11="","",SUMIFS('📅 Daily Tracker'!$F$10:$F$159,'📅 Daily Tracker'!$D$10:$D$159,'⚙️ Settings'!C18,'📅 Daily Tracker'!$B$10:$B$159,"&gt;="&amp;DATE(YEAR(TODAY()),1,1)))</f>
        <v>0</v>
      </c>
      <c r="F11" s="37" t="n">
        <f aca="true">IF(OR($B11="",$C11=0),"",$E11/($C11*MAX(1,ROUNDUP((TODAY()-DATE(YEAR(TODAY()),1,1)+1)/7,0))))</f>
        <v>0</v>
      </c>
      <c r="G11" s="14" t="n">
        <f aca="false">IF($B11="","",$D11/'⚙️ Settings'!$D$10)</f>
        <v>49.8333333333333</v>
      </c>
      <c r="H11" s="13" t="n">
        <f aca="false">IF($B11="","",$C11/'⚙️ Settings'!$D$11)</f>
        <v>0.136904761904762</v>
      </c>
      <c r="I11" s="10" t="str">
        <f aca="false">IF($B11="","",'⚙️ Settings'!J18)</f>
        <v>✅ OK</v>
      </c>
    </row>
    <row r="12" customFormat="false" ht="15" hidden="false" customHeight="false" outlineLevel="0" collapsed="false">
      <c r="B12" s="11" t="str">
        <f aca="false">IF('⚙️ Settings'!C19="","",'⚙️ Settings'!B19&amp;"  "&amp;'⚙️ Settings'!C19)</f>
        <v>🎯  Deep Work</v>
      </c>
      <c r="C12" s="14" t="n">
        <f aca="false">IF($B12="","",'⚙️ Settings'!D19)</f>
        <v>12</v>
      </c>
      <c r="D12" s="48" t="n">
        <f aca="false">IF($B12="","",$C12*'⚙️ Settings'!$D$13)</f>
        <v>624</v>
      </c>
      <c r="E12" s="49" t="n">
        <f aca="true">IF($B12="","",SUMIFS('📅 Daily Tracker'!$F$10:$F$159,'📅 Daily Tracker'!$D$10:$D$159,'⚙️ Settings'!C19,'📅 Daily Tracker'!$B$10:$B$159,"&gt;="&amp;DATE(YEAR(TODAY()),1,1)))</f>
        <v>0</v>
      </c>
      <c r="F12" s="37" t="n">
        <f aca="true">IF(OR($B12="",$C12=0),"",$E12/($C12*MAX(1,ROUNDUP((TODAY()-DATE(YEAR(TODAY()),1,1)+1)/7,0))))</f>
        <v>0</v>
      </c>
      <c r="G12" s="14" t="n">
        <f aca="false">IF($B12="","",$D12/'⚙️ Settings'!$D$10)</f>
        <v>26</v>
      </c>
      <c r="H12" s="13" t="n">
        <f aca="false">IF($B12="","",$C12/'⚙️ Settings'!$D$11)</f>
        <v>0.0714285714285714</v>
      </c>
      <c r="I12" s="10" t="str">
        <f aca="false">IF($B12="","",'⚙️ Settings'!J19)</f>
        <v>✅ OK</v>
      </c>
    </row>
    <row r="13" customFormat="false" ht="15" hidden="false" customHeight="false" outlineLevel="0" collapsed="false">
      <c r="B13" s="11" t="str">
        <f aca="false">IF('⚙️ Settings'!C20="","",'⚙️ Settings'!B20&amp;"  "&amp;'⚙️ Settings'!C20)</f>
        <v>🗣️  Meetings</v>
      </c>
      <c r="C13" s="14" t="n">
        <f aca="false">IF($B13="","",'⚙️ Settings'!D20)</f>
        <v>5</v>
      </c>
      <c r="D13" s="48" t="n">
        <f aca="false">IF($B13="","",$C13*'⚙️ Settings'!$D$13)</f>
        <v>260</v>
      </c>
      <c r="E13" s="49" t="n">
        <f aca="true">IF($B13="","",SUMIFS('📅 Daily Tracker'!$F$10:$F$159,'📅 Daily Tracker'!$D$10:$D$159,'⚙️ Settings'!C20,'📅 Daily Tracker'!$B$10:$B$159,"&gt;="&amp;DATE(YEAR(TODAY()),1,1)))</f>
        <v>0</v>
      </c>
      <c r="F13" s="37" t="n">
        <f aca="true">IF(OR($B13="",$C13=0),"",$E13/($C13*MAX(1,ROUNDUP((TODAY()-DATE(YEAR(TODAY()),1,1)+1)/7,0))))</f>
        <v>0</v>
      </c>
      <c r="G13" s="14" t="n">
        <f aca="false">IF($B13="","",$D13/'⚙️ Settings'!$D$10)</f>
        <v>10.8333333333333</v>
      </c>
      <c r="H13" s="13" t="n">
        <f aca="false">IF($B13="","",$C13/'⚙️ Settings'!$D$11)</f>
        <v>0.0297619047619048</v>
      </c>
      <c r="I13" s="10" t="str">
        <f aca="false">IF($B13="","",'⚙️ Settings'!J20)</f>
        <v>✅ OK</v>
      </c>
    </row>
    <row r="14" customFormat="false" ht="15" hidden="false" customHeight="false" outlineLevel="0" collapsed="false">
      <c r="B14" s="11" t="str">
        <f aca="false">IF('⚙️ Settings'!C21="","",'⚙️ Settings'!B21&amp;"  "&amp;'⚙️ Settings'!C21)</f>
        <v>🍕  Food</v>
      </c>
      <c r="C14" s="14" t="n">
        <f aca="false">IF($B14="","",'⚙️ Settings'!D21)</f>
        <v>5.91666666666667</v>
      </c>
      <c r="D14" s="48" t="n">
        <f aca="false">IF($B14="","",$C14*'⚙️ Settings'!$D$13)</f>
        <v>307.666666666667</v>
      </c>
      <c r="E14" s="49" t="n">
        <f aca="true">IF($B14="","",SUMIFS('📅 Daily Tracker'!$F$10:$F$159,'📅 Daily Tracker'!$D$10:$D$159,'⚙️ Settings'!C21,'📅 Daily Tracker'!$B$10:$B$159,"&gt;="&amp;DATE(YEAR(TODAY()),1,1)))</f>
        <v>0</v>
      </c>
      <c r="F14" s="37" t="n">
        <f aca="true">IF(OR($B14="",$C14=0),"",$E14/($C14*MAX(1,ROUNDUP((TODAY()-DATE(YEAR(TODAY()),1,1)+1)/7,0))))</f>
        <v>0</v>
      </c>
      <c r="G14" s="14" t="n">
        <f aca="false">IF($B14="","",$D14/'⚙️ Settings'!$D$10)</f>
        <v>12.8194444444444</v>
      </c>
      <c r="H14" s="13" t="n">
        <f aca="false">IF($B14="","",$C14/'⚙️ Settings'!$D$11)</f>
        <v>0.035218253968254</v>
      </c>
      <c r="I14" s="10" t="str">
        <f aca="false">IF($B14="","",'⚙️ Settings'!J21)</f>
        <v>✅ OK</v>
      </c>
    </row>
    <row r="15" customFormat="false" ht="15" hidden="false" customHeight="false" outlineLevel="0" collapsed="false">
      <c r="B15" s="11" t="str">
        <f aca="false">IF('⚙️ Settings'!C22="","",'⚙️ Settings'!B22&amp;"  "&amp;'⚙️ Settings'!C22)</f>
        <v>🧹  Household Chores</v>
      </c>
      <c r="C15" s="14" t="n">
        <f aca="false">IF($B15="","",'⚙️ Settings'!D22)</f>
        <v>4</v>
      </c>
      <c r="D15" s="48" t="n">
        <f aca="false">IF($B15="","",$C15*'⚙️ Settings'!$D$13)</f>
        <v>208</v>
      </c>
      <c r="E15" s="49" t="n">
        <f aca="true">IF($B15="","",SUMIFS('📅 Daily Tracker'!$F$10:$F$159,'📅 Daily Tracker'!$D$10:$D$159,'⚙️ Settings'!C22,'📅 Daily Tracker'!$B$10:$B$159,"&gt;="&amp;DATE(YEAR(TODAY()),1,1)))</f>
        <v>0</v>
      </c>
      <c r="F15" s="37" t="n">
        <f aca="true">IF(OR($B15="",$C15=0),"",$E15/($C15*MAX(1,ROUNDUP((TODAY()-DATE(YEAR(TODAY()),1,1)+1)/7,0))))</f>
        <v>0</v>
      </c>
      <c r="G15" s="14" t="n">
        <f aca="false">IF($B15="","",$D15/'⚙️ Settings'!$D$10)</f>
        <v>8.66666666666667</v>
      </c>
      <c r="H15" s="13" t="n">
        <f aca="false">IF($B15="","",$C15/'⚙️ Settings'!$D$11)</f>
        <v>0.0238095238095238</v>
      </c>
      <c r="I15" s="10" t="str">
        <f aca="false">IF($B15="","",'⚙️ Settings'!J22)</f>
        <v>✅ OK</v>
      </c>
    </row>
    <row r="16" customFormat="false" ht="15" hidden="false" customHeight="false" outlineLevel="0" collapsed="false">
      <c r="B16" s="11" t="str">
        <f aca="false">IF('⚙️ Settings'!C23="","",'⚙️ Settings'!B23&amp;"  "&amp;'⚙️ Settings'!C23)</f>
        <v>👶  Childcare</v>
      </c>
      <c r="C16" s="14" t="n">
        <f aca="false">IF($B16="","",'⚙️ Settings'!D23)</f>
        <v>0</v>
      </c>
      <c r="D16" s="48" t="n">
        <f aca="false">IF($B16="","",$C16*'⚙️ Settings'!$D$13)</f>
        <v>0</v>
      </c>
      <c r="E16" s="49" t="n">
        <f aca="true">IF($B16="","",SUMIFS('📅 Daily Tracker'!$F$10:$F$159,'📅 Daily Tracker'!$D$10:$D$159,'⚙️ Settings'!C23,'📅 Daily Tracker'!$B$10:$B$159,"&gt;="&amp;DATE(YEAR(TODAY()),1,1)))</f>
        <v>0</v>
      </c>
      <c r="F16" s="37" t="str">
        <f aca="true">IF(OR($B16="",$C16=0),"",$E16/($C16*MAX(1,ROUNDUP((TODAY()-DATE(YEAR(TODAY()),1,1)+1)/7,0))))</f>
        <v/>
      </c>
      <c r="G16" s="14" t="n">
        <f aca="false">IF($B16="","",$D16/'⚙️ Settings'!$D$10)</f>
        <v>0</v>
      </c>
      <c r="H16" s="13" t="n">
        <f aca="false">IF($B16="","",$C16/'⚙️ Settings'!$D$11)</f>
        <v>0</v>
      </c>
      <c r="I16" s="10" t="str">
        <f aca="false">IF($B16="","",'⚙️ Settings'!J23)</f>
        <v>✅ OK</v>
      </c>
    </row>
    <row r="17" customFormat="false" ht="15" hidden="false" customHeight="false" outlineLevel="0" collapsed="false">
      <c r="B17" s="11" t="str">
        <f aca="false">IF('⚙️ Settings'!C24="","",'⚙️ Settings'!B24&amp;"  "&amp;'⚙️ Settings'!C24)</f>
        <v>🏋️  Fitness</v>
      </c>
      <c r="C17" s="14" t="n">
        <f aca="false">IF($B17="","",'⚙️ Settings'!D24)</f>
        <v>10</v>
      </c>
      <c r="D17" s="48" t="n">
        <f aca="false">IF($B17="","",$C17*'⚙️ Settings'!$D$13)</f>
        <v>520</v>
      </c>
      <c r="E17" s="49" t="n">
        <f aca="true">IF($B17="","",SUMIFS('📅 Daily Tracker'!$F$10:$F$159,'📅 Daily Tracker'!$D$10:$D$159,'⚙️ Settings'!C24,'📅 Daily Tracker'!$B$10:$B$159,"&gt;="&amp;DATE(YEAR(TODAY()),1,1)))</f>
        <v>0</v>
      </c>
      <c r="F17" s="37" t="n">
        <f aca="true">IF(OR($B17="",$C17=0),"",$E17/($C17*MAX(1,ROUNDUP((TODAY()-DATE(YEAR(TODAY()),1,1)+1)/7,0))))</f>
        <v>0</v>
      </c>
      <c r="G17" s="14" t="n">
        <f aca="false">IF($B17="","",$D17/'⚙️ Settings'!$D$10)</f>
        <v>21.6666666666667</v>
      </c>
      <c r="H17" s="13" t="n">
        <f aca="false">IF($B17="","",$C17/'⚙️ Settings'!$D$11)</f>
        <v>0.0595238095238095</v>
      </c>
      <c r="I17" s="10" t="str">
        <f aca="false">IF($B17="","",'⚙️ Settings'!J24)</f>
        <v>✅ OK</v>
      </c>
    </row>
    <row r="18" customFormat="false" ht="15" hidden="false" customHeight="false" outlineLevel="0" collapsed="false">
      <c r="B18" s="11" t="str">
        <f aca="false">IF('⚙️ Settings'!C25="","",'⚙️ Settings'!B25&amp;"  "&amp;'⚙️ Settings'!C25)</f>
        <v>📺  Entertainment</v>
      </c>
      <c r="C18" s="14" t="n">
        <f aca="false">IF($B18="","",'⚙️ Settings'!D25)</f>
        <v>12</v>
      </c>
      <c r="D18" s="48" t="n">
        <f aca="false">IF($B18="","",$C18*'⚙️ Settings'!$D$13)</f>
        <v>624</v>
      </c>
      <c r="E18" s="49" t="n">
        <f aca="true">IF($B18="","",SUMIFS('📅 Daily Tracker'!$F$10:$F$159,'📅 Daily Tracker'!$D$10:$D$159,'⚙️ Settings'!C25,'📅 Daily Tracker'!$B$10:$B$159,"&gt;="&amp;DATE(YEAR(TODAY()),1,1)))</f>
        <v>0</v>
      </c>
      <c r="F18" s="37" t="n">
        <f aca="true">IF(OR($B18="",$C18=0),"",$E18/($C18*MAX(1,ROUNDUP((TODAY()-DATE(YEAR(TODAY()),1,1)+1)/7,0))))</f>
        <v>0</v>
      </c>
      <c r="G18" s="14" t="n">
        <f aca="false">IF($B18="","",$D18/'⚙️ Settings'!$D$10)</f>
        <v>26</v>
      </c>
      <c r="H18" s="13" t="n">
        <f aca="false">IF($B18="","",$C18/'⚙️ Settings'!$D$11)</f>
        <v>0.0714285714285714</v>
      </c>
      <c r="I18" s="10" t="str">
        <f aca="false">IF($B18="","",'⚙️ Settings'!J25)</f>
        <v>✅ OK</v>
      </c>
    </row>
    <row r="19" customFormat="false" ht="15" hidden="false" customHeight="false" outlineLevel="0" collapsed="false">
      <c r="B19" s="11" t="str">
        <f aca="false">IF('⚙️ Settings'!C26="","",'⚙️ Settings'!B26&amp;"  "&amp;'⚙️ Settings'!C26)</f>
        <v>❤️  Relationships</v>
      </c>
      <c r="C19" s="14" t="n">
        <f aca="false">IF($B19="","",'⚙️ Settings'!D26)</f>
        <v>6</v>
      </c>
      <c r="D19" s="48" t="n">
        <f aca="false">IF($B19="","",$C19*'⚙️ Settings'!$D$13)</f>
        <v>312</v>
      </c>
      <c r="E19" s="49" t="n">
        <f aca="true">IF($B19="","",SUMIFS('📅 Daily Tracker'!$F$10:$F$159,'📅 Daily Tracker'!$D$10:$D$159,'⚙️ Settings'!C26,'📅 Daily Tracker'!$B$10:$B$159,"&gt;="&amp;DATE(YEAR(TODAY()),1,1)))</f>
        <v>0</v>
      </c>
      <c r="F19" s="37" t="n">
        <f aca="true">IF(OR($B19="",$C19=0),"",$E19/($C19*MAX(1,ROUNDUP((TODAY()-DATE(YEAR(TODAY()),1,1)+1)/7,0))))</f>
        <v>0</v>
      </c>
      <c r="G19" s="14" t="n">
        <f aca="false">IF($B19="","",$D19/'⚙️ Settings'!$D$10)</f>
        <v>13</v>
      </c>
      <c r="H19" s="13" t="n">
        <f aca="false">IF($B19="","",$C19/'⚙️ Settings'!$D$11)</f>
        <v>0.0357142857142857</v>
      </c>
      <c r="I19" s="10" t="str">
        <f aca="false">IF($B19="","",'⚙️ Settings'!J26)</f>
        <v>✅ OK</v>
      </c>
    </row>
    <row r="20" customFormat="false" ht="15" hidden="false" customHeight="false" outlineLevel="0" collapsed="false">
      <c r="B20" s="11" t="str">
        <f aca="false">IF('⚙️ Settings'!C27="","",'⚙️ Settings'!B27&amp;"  "&amp;'⚙️ Settings'!C27)</f>
        <v>📚  Learning</v>
      </c>
      <c r="C20" s="14" t="n">
        <f aca="false">IF($B20="","",'⚙️ Settings'!D27)</f>
        <v>4.33333333333333</v>
      </c>
      <c r="D20" s="48" t="n">
        <f aca="false">IF($B20="","",$C20*'⚙️ Settings'!$D$13)</f>
        <v>225.333333333333</v>
      </c>
      <c r="E20" s="49" t="n">
        <f aca="true">IF($B20="","",SUMIFS('📅 Daily Tracker'!$F$10:$F$159,'📅 Daily Tracker'!$D$10:$D$159,'⚙️ Settings'!C27,'📅 Daily Tracker'!$B$10:$B$159,"&gt;="&amp;DATE(YEAR(TODAY()),1,1)))</f>
        <v>0</v>
      </c>
      <c r="F20" s="37" t="n">
        <f aca="true">IF(OR($B20="",$C20=0),"",$E20/($C20*MAX(1,ROUNDUP((TODAY()-DATE(YEAR(TODAY()),1,1)+1)/7,0))))</f>
        <v>0</v>
      </c>
      <c r="G20" s="14" t="n">
        <f aca="false">IF($B20="","",$D20/'⚙️ Settings'!$D$10)</f>
        <v>9.38888888888889</v>
      </c>
      <c r="H20" s="13" t="n">
        <f aca="false">IF($B20="","",$C20/'⚙️ Settings'!$D$11)</f>
        <v>0.0257936507936508</v>
      </c>
      <c r="I20" s="10" t="str">
        <f aca="false">IF($B20="","",'⚙️ Settings'!J27)</f>
        <v>✅ OK</v>
      </c>
    </row>
    <row r="21" customFormat="false" ht="15" hidden="false" customHeight="false" outlineLevel="0" collapsed="false">
      <c r="B21" s="11" t="str">
        <f aca="false">IF('⚙️ Settings'!C28="","",'⚙️ Settings'!B28&amp;"  "&amp;'⚙️ Settings'!C28)</f>
        <v>🌱  Personal Development</v>
      </c>
      <c r="C21" s="14" t="n">
        <f aca="false">IF($B21="","",'⚙️ Settings'!D28)</f>
        <v>3.33333333333333</v>
      </c>
      <c r="D21" s="48" t="n">
        <f aca="false">IF($B21="","",$C21*'⚙️ Settings'!$D$13)</f>
        <v>173.333333333333</v>
      </c>
      <c r="E21" s="49" t="n">
        <f aca="true">IF($B21="","",SUMIFS('📅 Daily Tracker'!$F$10:$F$159,'📅 Daily Tracker'!$D$10:$D$159,'⚙️ Settings'!C28,'📅 Daily Tracker'!$B$10:$B$159,"&gt;="&amp;DATE(YEAR(TODAY()),1,1)))</f>
        <v>0</v>
      </c>
      <c r="F21" s="37" t="n">
        <f aca="true">IF(OR($B21="",$C21=0),"",$E21/($C21*MAX(1,ROUNDUP((TODAY()-DATE(YEAR(TODAY()),1,1)+1)/7,0))))</f>
        <v>0</v>
      </c>
      <c r="G21" s="14" t="n">
        <f aca="false">IF($B21="","",$D21/'⚙️ Settings'!$D$10)</f>
        <v>7.22222222222222</v>
      </c>
      <c r="H21" s="13" t="n">
        <f aca="false">IF($B21="","",$C21/'⚙️ Settings'!$D$11)</f>
        <v>0.0198412698412698</v>
      </c>
      <c r="I21" s="10" t="str">
        <f aca="false">IF($B21="","",'⚙️ Settings'!J28)</f>
        <v>✅ OK</v>
      </c>
    </row>
    <row r="22" customFormat="false" ht="15" hidden="false" customHeight="false" outlineLevel="0" collapsed="false">
      <c r="B22" s="11" t="str">
        <f aca="false">IF('⚙️ Settings'!C29="","",'⚙️ Settings'!B29&amp;"  "&amp;'⚙️ Settings'!C29)</f>
        <v>🙏  Spiritual</v>
      </c>
      <c r="C22" s="14" t="n">
        <f aca="false">IF($B22="","",'⚙️ Settings'!D29)</f>
        <v>0</v>
      </c>
      <c r="D22" s="48" t="n">
        <f aca="false">IF($B22="","",$C22*'⚙️ Settings'!$D$13)</f>
        <v>0</v>
      </c>
      <c r="E22" s="49" t="n">
        <f aca="true">IF($B22="","",SUMIFS('📅 Daily Tracker'!$F$10:$F$159,'📅 Daily Tracker'!$D$10:$D$159,'⚙️ Settings'!C29,'📅 Daily Tracker'!$B$10:$B$159,"&gt;="&amp;DATE(YEAR(TODAY()),1,1)))</f>
        <v>0</v>
      </c>
      <c r="F22" s="37" t="str">
        <f aca="true">IF(OR($B22="",$C22=0),"",$E22/($C22*MAX(1,ROUNDUP((TODAY()-DATE(YEAR(TODAY()),1,1)+1)/7,0))))</f>
        <v/>
      </c>
      <c r="G22" s="14" t="n">
        <f aca="false">IF($B22="","",$D22/'⚙️ Settings'!$D$10)</f>
        <v>0</v>
      </c>
      <c r="H22" s="13" t="n">
        <f aca="false">IF($B22="","",$C22/'⚙️ Settings'!$D$11)</f>
        <v>0</v>
      </c>
      <c r="I22" s="10" t="str">
        <f aca="false">IF($B22="","",'⚙️ Settings'!J29)</f>
        <v>✅ OK</v>
      </c>
    </row>
    <row r="23" customFormat="false" ht="15" hidden="false" customHeight="false" outlineLevel="0" collapsed="false">
      <c r="B23" s="11" t="str">
        <f aca="false">IF('⚙️ Settings'!C30="","",'⚙️ Settings'!B30&amp;"  "&amp;'⚙️ Settings'!C30)</f>
        <v>🚗  Travel</v>
      </c>
      <c r="C23" s="14" t="n">
        <f aca="false">IF($B23="","",'⚙️ Settings'!D30)</f>
        <v>1.5</v>
      </c>
      <c r="D23" s="48" t="n">
        <f aca="false">IF($B23="","",$C23*'⚙️ Settings'!$D$13)</f>
        <v>78</v>
      </c>
      <c r="E23" s="49" t="n">
        <f aca="true">IF($B23="","",SUMIFS('📅 Daily Tracker'!$F$10:$F$159,'📅 Daily Tracker'!$D$10:$D$159,'⚙️ Settings'!C30,'📅 Daily Tracker'!$B$10:$B$159,"&gt;="&amp;DATE(YEAR(TODAY()),1,1)))</f>
        <v>0</v>
      </c>
      <c r="F23" s="37" t="n">
        <f aca="true">IF(OR($B23="",$C23=0),"",$E23/($C23*MAX(1,ROUNDUP((TODAY()-DATE(YEAR(TODAY()),1,1)+1)/7,0))))</f>
        <v>0</v>
      </c>
      <c r="G23" s="14" t="n">
        <f aca="false">IF($B23="","",$D23/'⚙️ Settings'!$D$10)</f>
        <v>3.25</v>
      </c>
      <c r="H23" s="13" t="n">
        <f aca="false">IF($B23="","",$C23/'⚙️ Settings'!$D$11)</f>
        <v>0.00892857142857143</v>
      </c>
      <c r="I23" s="10" t="str">
        <f aca="false">IF($B23="","",'⚙️ Settings'!J30)</f>
        <v>✅ OK</v>
      </c>
    </row>
    <row r="24" customFormat="false" ht="15" hidden="false" customHeight="false" outlineLevel="0" collapsed="false">
      <c r="B24" s="11" t="str">
        <f aca="false">IF('⚙️ Settings'!C31="","",'⚙️ Settings'!B31&amp;"  "&amp;'⚙️ Settings'!C31)</f>
        <v>🗂️  Admin</v>
      </c>
      <c r="C24" s="14" t="n">
        <f aca="false">IF($B24="","",'⚙️ Settings'!D31)</f>
        <v>2.5</v>
      </c>
      <c r="D24" s="48" t="n">
        <f aca="false">IF($B24="","",$C24*'⚙️ Settings'!$D$13)</f>
        <v>130</v>
      </c>
      <c r="E24" s="49" t="n">
        <f aca="true">IF($B24="","",SUMIFS('📅 Daily Tracker'!$F$10:$F$159,'📅 Daily Tracker'!$D$10:$D$159,'⚙️ Settings'!C31,'📅 Daily Tracker'!$B$10:$B$159,"&gt;="&amp;DATE(YEAR(TODAY()),1,1)))</f>
        <v>0</v>
      </c>
      <c r="F24" s="37" t="n">
        <f aca="true">IF(OR($B24="",$C24=0),"",$E24/($C24*MAX(1,ROUNDUP((TODAY()-DATE(YEAR(TODAY()),1,1)+1)/7,0))))</f>
        <v>0</v>
      </c>
      <c r="G24" s="14" t="n">
        <f aca="false">IF($B24="","",$D24/'⚙️ Settings'!$D$10)</f>
        <v>5.41666666666667</v>
      </c>
      <c r="H24" s="13" t="n">
        <f aca="false">IF($B24="","",$C24/'⚙️ Settings'!$D$11)</f>
        <v>0.0148809523809524</v>
      </c>
      <c r="I24" s="10" t="str">
        <f aca="false">IF($B24="","",'⚙️ Settings'!J31)</f>
        <v>✅ OK</v>
      </c>
    </row>
    <row r="25" customFormat="false" ht="15" hidden="false" customHeight="false" outlineLevel="0" collapsed="false">
      <c r="B25" s="11" t="str">
        <f aca="false">IF('⚙️ Settings'!C32="","",'⚙️ Settings'!B32&amp;"  "&amp;'⚙️ Settings'!C32)</f>
        <v>📈  Business Development</v>
      </c>
      <c r="C25" s="14" t="n">
        <f aca="false">IF($B25="","",'⚙️ Settings'!D32)</f>
        <v>4</v>
      </c>
      <c r="D25" s="48" t="n">
        <f aca="false">IF($B25="","",$C25*'⚙️ Settings'!$D$13)</f>
        <v>208</v>
      </c>
      <c r="E25" s="49" t="n">
        <f aca="true">IF($B25="","",SUMIFS('📅 Daily Tracker'!$F$10:$F$159,'📅 Daily Tracker'!$D$10:$D$159,'⚙️ Settings'!C32,'📅 Daily Tracker'!$B$10:$B$159,"&gt;="&amp;DATE(YEAR(TODAY()),1,1)))</f>
        <v>0</v>
      </c>
      <c r="F25" s="37" t="n">
        <f aca="true">IF(OR($B25="",$C25=0),"",$E25/($C25*MAX(1,ROUNDUP((TODAY()-DATE(YEAR(TODAY()),1,1)+1)/7,0))))</f>
        <v>0</v>
      </c>
      <c r="G25" s="14" t="n">
        <f aca="false">IF($B25="","",$D25/'⚙️ Settings'!$D$10)</f>
        <v>8.66666666666667</v>
      </c>
      <c r="H25" s="13" t="n">
        <f aca="false">IF($B25="","",$C25/'⚙️ Settings'!$D$11)</f>
        <v>0.0238095238095238</v>
      </c>
      <c r="I25" s="10" t="str">
        <f aca="false">IF($B25="","",'⚙️ Settings'!J32)</f>
        <v>✅ OK</v>
      </c>
    </row>
    <row r="26" customFormat="false" ht="15" hidden="false" customHeight="false" outlineLevel="0" collapsed="false">
      <c r="B26" s="11" t="str">
        <f aca="false">IF('⚙️ Settings'!C33="","",'⚙️ Settings'!B33&amp;"  "&amp;'⚙️ Settings'!C33)</f>
        <v>🎬  Content Creation</v>
      </c>
      <c r="C26" s="14" t="n">
        <f aca="false">IF($B26="","",'⚙️ Settings'!D33)</f>
        <v>6</v>
      </c>
      <c r="D26" s="48" t="n">
        <f aca="false">IF($B26="","",$C26*'⚙️ Settings'!$D$13)</f>
        <v>312</v>
      </c>
      <c r="E26" s="49" t="n">
        <f aca="true">IF($B26="","",SUMIFS('📅 Daily Tracker'!$F$10:$F$159,'📅 Daily Tracker'!$D$10:$D$159,'⚙️ Settings'!C33,'📅 Daily Tracker'!$B$10:$B$159,"&gt;="&amp;DATE(YEAR(TODAY()),1,1)))</f>
        <v>0</v>
      </c>
      <c r="F26" s="37" t="n">
        <f aca="true">IF(OR($B26="",$C26=0),"",$E26/($C26*MAX(1,ROUNDUP((TODAY()-DATE(YEAR(TODAY()),1,1)+1)/7,0))))</f>
        <v>0</v>
      </c>
      <c r="G26" s="14" t="n">
        <f aca="false">IF($B26="","",$D26/'⚙️ Settings'!$D$10)</f>
        <v>13</v>
      </c>
      <c r="H26" s="13" t="n">
        <f aca="false">IF($B26="","",$C26/'⚙️ Settings'!$D$11)</f>
        <v>0.0357142857142857</v>
      </c>
      <c r="I26" s="10" t="str">
        <f aca="false">IF($B26="","",'⚙️ Settings'!J33)</f>
        <v>✅ OK</v>
      </c>
    </row>
    <row r="27" customFormat="false" ht="15" hidden="false" customHeight="false" outlineLevel="0" collapsed="false">
      <c r="B27" s="11" t="str">
        <f aca="false">IF('⚙️ Settings'!C34="","",'⚙️ Settings'!B34&amp;"  "&amp;'⚙️ Settings'!C34)</f>
        <v/>
      </c>
      <c r="C27" s="14" t="str">
        <f aca="false">IF($B27="","",'⚙️ Settings'!D34)</f>
        <v/>
      </c>
      <c r="D27" s="48" t="str">
        <f aca="false">IF($B27="","",$C27*'⚙️ Settings'!$D$13)</f>
        <v/>
      </c>
      <c r="E27" s="49" t="str">
        <f aca="true">IF($B27="","",SUMIFS('📅 Daily Tracker'!$F$10:$F$159,'📅 Daily Tracker'!$D$10:$D$159,'⚙️ Settings'!C34,'📅 Daily Tracker'!$B$10:$B$159,"&gt;="&amp;DATE(YEAR(TODAY()),1,1)))</f>
        <v/>
      </c>
      <c r="F27" s="37" t="str">
        <f aca="true">IF(OR($B27="",$C27=0),"",$E27/($C27*MAX(1,ROUNDUP((TODAY()-DATE(YEAR(TODAY()),1,1)+1)/7,0))))</f>
        <v/>
      </c>
      <c r="G27" s="14" t="str">
        <f aca="false">IF($B27="","",$D27/'⚙️ Settings'!$D$10)</f>
        <v/>
      </c>
      <c r="H27" s="13" t="str">
        <f aca="false">IF($B27="","",$C27/'⚙️ Settings'!$D$11)</f>
        <v/>
      </c>
      <c r="I27" s="10" t="str">
        <f aca="false">IF($B27="","",'⚙️ Settings'!J34)</f>
        <v/>
      </c>
    </row>
    <row r="28" customFormat="false" ht="15" hidden="false" customHeight="false" outlineLevel="0" collapsed="false">
      <c r="B28" s="11" t="str">
        <f aca="false">IF('⚙️ Settings'!C35="","",'⚙️ Settings'!B35&amp;"  "&amp;'⚙️ Settings'!C35)</f>
        <v/>
      </c>
      <c r="C28" s="14" t="str">
        <f aca="false">IF($B28="","",'⚙️ Settings'!D35)</f>
        <v/>
      </c>
      <c r="D28" s="48" t="str">
        <f aca="false">IF($B28="","",$C28*'⚙️ Settings'!$D$13)</f>
        <v/>
      </c>
      <c r="E28" s="49" t="str">
        <f aca="true">IF($B28="","",SUMIFS('📅 Daily Tracker'!$F$10:$F$159,'📅 Daily Tracker'!$D$10:$D$159,'⚙️ Settings'!C35,'📅 Daily Tracker'!$B$10:$B$159,"&gt;="&amp;DATE(YEAR(TODAY()),1,1)))</f>
        <v/>
      </c>
      <c r="F28" s="37" t="str">
        <f aca="true">IF(OR($B28="",$C28=0),"",$E28/($C28*MAX(1,ROUNDUP((TODAY()-DATE(YEAR(TODAY()),1,1)+1)/7,0))))</f>
        <v/>
      </c>
      <c r="G28" s="14" t="str">
        <f aca="false">IF($B28="","",$D28/'⚙️ Settings'!$D$10)</f>
        <v/>
      </c>
      <c r="H28" s="13" t="str">
        <f aca="false">IF($B28="","",$C28/'⚙️ Settings'!$D$11)</f>
        <v/>
      </c>
      <c r="I28" s="10" t="str">
        <f aca="false">IF($B28="","",'⚙️ Settings'!J35)</f>
        <v/>
      </c>
    </row>
    <row r="29" customFormat="false" ht="15" hidden="false" customHeight="false" outlineLevel="0" collapsed="false">
      <c r="B29" s="11" t="str">
        <f aca="false">IF('⚙️ Settings'!C36="","",'⚙️ Settings'!B36&amp;"  "&amp;'⚙️ Settings'!C36)</f>
        <v/>
      </c>
      <c r="C29" s="14" t="str">
        <f aca="false">IF($B29="","",'⚙️ Settings'!D36)</f>
        <v/>
      </c>
      <c r="D29" s="48" t="str">
        <f aca="false">IF($B29="","",$C29*'⚙️ Settings'!$D$13)</f>
        <v/>
      </c>
      <c r="E29" s="49" t="str">
        <f aca="true">IF($B29="","",SUMIFS('📅 Daily Tracker'!$F$10:$F$159,'📅 Daily Tracker'!$D$10:$D$159,'⚙️ Settings'!C36,'📅 Daily Tracker'!$B$10:$B$159,"&gt;="&amp;DATE(YEAR(TODAY()),1,1)))</f>
        <v/>
      </c>
      <c r="F29" s="37" t="str">
        <f aca="true">IF(OR($B29="",$C29=0),"",$E29/($C29*MAX(1,ROUNDUP((TODAY()-DATE(YEAR(TODAY()),1,1)+1)/7,0))))</f>
        <v/>
      </c>
      <c r="G29" s="14" t="str">
        <f aca="false">IF($B29="","",$D29/'⚙️ Settings'!$D$10)</f>
        <v/>
      </c>
      <c r="H29" s="13" t="str">
        <f aca="false">IF($B29="","",$C29/'⚙️ Settings'!$D$11)</f>
        <v/>
      </c>
      <c r="I29" s="10" t="str">
        <f aca="false">IF($B29="","",'⚙️ Settings'!J36)</f>
        <v/>
      </c>
    </row>
    <row r="30" customFormat="false" ht="15" hidden="false" customHeight="false" outlineLevel="0" collapsed="false">
      <c r="B30" s="11" t="str">
        <f aca="false">IF('⚙️ Settings'!C37="","",'⚙️ Settings'!B37&amp;"  "&amp;'⚙️ Settings'!C37)</f>
        <v/>
      </c>
      <c r="C30" s="14" t="str">
        <f aca="false">IF($B30="","",'⚙️ Settings'!D37)</f>
        <v/>
      </c>
      <c r="D30" s="48" t="str">
        <f aca="false">IF($B30="","",$C30*'⚙️ Settings'!$D$13)</f>
        <v/>
      </c>
      <c r="E30" s="49" t="str">
        <f aca="true">IF($B30="","",SUMIFS('📅 Daily Tracker'!$F$10:$F$159,'📅 Daily Tracker'!$D$10:$D$159,'⚙️ Settings'!C37,'📅 Daily Tracker'!$B$10:$B$159,"&gt;="&amp;DATE(YEAR(TODAY()),1,1)))</f>
        <v/>
      </c>
      <c r="F30" s="37" t="str">
        <f aca="true">IF(OR($B30="",$C30=0),"",$E30/($C30*MAX(1,ROUNDUP((TODAY()-DATE(YEAR(TODAY()),1,1)+1)/7,0))))</f>
        <v/>
      </c>
      <c r="G30" s="14" t="str">
        <f aca="false">IF($B30="","",$D30/'⚙️ Settings'!$D$10)</f>
        <v/>
      </c>
      <c r="H30" s="13" t="str">
        <f aca="false">IF($B30="","",$C30/'⚙️ Settings'!$D$11)</f>
        <v/>
      </c>
      <c r="I30" s="10" t="str">
        <f aca="false">IF($B30="","",'⚙️ Settings'!J37)</f>
        <v/>
      </c>
    </row>
    <row r="31" customFormat="false" ht="15" hidden="false" customHeight="false" outlineLevel="0" collapsed="false">
      <c r="B31" s="11" t="str">
        <f aca="false">IF('⚙️ Settings'!C38="","",'⚙️ Settings'!B38&amp;"  "&amp;'⚙️ Settings'!C38)</f>
        <v/>
      </c>
      <c r="C31" s="14" t="str">
        <f aca="false">IF($B31="","",'⚙️ Settings'!D38)</f>
        <v/>
      </c>
      <c r="D31" s="48" t="str">
        <f aca="false">IF($B31="","",$C31*'⚙️ Settings'!$D$13)</f>
        <v/>
      </c>
      <c r="E31" s="49" t="str">
        <f aca="true">IF($B31="","",SUMIFS('📅 Daily Tracker'!$F$10:$F$159,'📅 Daily Tracker'!$D$10:$D$159,'⚙️ Settings'!C38,'📅 Daily Tracker'!$B$10:$B$159,"&gt;="&amp;DATE(YEAR(TODAY()),1,1)))</f>
        <v/>
      </c>
      <c r="F31" s="37" t="str">
        <f aca="true">IF(OR($B31="",$C31=0),"",$E31/($C31*MAX(1,ROUNDUP((TODAY()-DATE(YEAR(TODAY()),1,1)+1)/7,0))))</f>
        <v/>
      </c>
      <c r="G31" s="14" t="str">
        <f aca="false">IF($B31="","",$D31/'⚙️ Settings'!$D$10)</f>
        <v/>
      </c>
      <c r="H31" s="13" t="str">
        <f aca="false">IF($B31="","",$C31/'⚙️ Settings'!$D$11)</f>
        <v/>
      </c>
      <c r="I31" s="10" t="str">
        <f aca="false">IF($B31="","",'⚙️ Settings'!J38)</f>
        <v/>
      </c>
    </row>
    <row r="33" customFormat="false" ht="21.75" hidden="false" customHeight="true" outlineLevel="0" collapsed="false">
      <c r="B33" s="3" t="s">
        <v>267</v>
      </c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B34" s="4" t="str">
        <f aca="true">"You have logged "&amp;TEXT(SUM($E$10:$E$31),"#,##0")&amp;" hours so far this year across "&amp;MAX(1,ROUNDUP((TODAY()-DATE(YEAR(TODAY()),1,1)+1)/7,0))&amp;" weeks."</f>
        <v>You have logged 0 hours so far this year across 31 weeks.</v>
      </c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B35" s="4" t="str">
        <f aca="false">IF(SUM($E$10:$E$31)=0,"Log days on the 📅 Daily Tracker to unlock your Year in Review.","🏆  Your year so far is defined by: "&amp;INDEX($B$10:$B$31,MATCH(MAX($E$10:$E$31),$E$10:$E$31,0))&amp;"  ("&amp;TEXT(MAX($E$10:$E$31),"#,##0")&amp;" h logged)")</f>
        <v>Log days on the 📅 Daily Tracker to unlock your Year in Review.</v>
      </c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B36" s="4" t="str">
        <f aca="false">"😴  At your ideal pace you will sleep "&amp;ROUND('⚙️ Settings'!$D$17*'⚙️ Settings'!$D$13/24,0)&amp;" full days this year."</f>
        <v>😴  At your ideal pace you will sleep 124 full days this year.</v>
      </c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B37" s="4" t="str">
        <f aca="false">"💼  Work + deep work + meetings project to "&amp;TEXT(('⚙️ Settings'!$D$18+'⚙️ Settings'!$D$19+'⚙️ Settings'!$D$20)*'⚙️ Settings'!$D$13,"#,##0")&amp;" hours this year."</f>
        <v>💼  Work + deep work + meetings project to 2,080 hours this year.</v>
      </c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B38" s="4" t="str">
        <f aca="false">"✅  Free, unallocated time compounds to "&amp;TEXT(MAX(0,'⚙️ Settings'!$D$41)*'⚙️ Settings'!$D$13,"#,##0")&amp;" hours a year. Spend them on purpose."</f>
        <v>✅  Free, unallocated time compounds to 585 hours a year. Spend them on purpose.</v>
      </c>
      <c r="C38" s="4"/>
      <c r="D38" s="4"/>
      <c r="E38" s="4"/>
      <c r="F38" s="4"/>
      <c r="G38" s="4"/>
      <c r="H38" s="4"/>
      <c r="I38" s="4"/>
    </row>
  </sheetData>
  <mergeCells count="8">
    <mergeCell ref="B6:J6"/>
    <mergeCell ref="B8:I8"/>
    <mergeCell ref="B33:I33"/>
    <mergeCell ref="B34:I34"/>
    <mergeCell ref="B35:I35"/>
    <mergeCell ref="B36:I36"/>
    <mergeCell ref="B37:I37"/>
    <mergeCell ref="B38:I38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17B"/>
    <pageSetUpPr fitToPage="false"/>
  </sheetPr>
  <dimension ref="B2:M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3"/>
    <col collapsed="false" customWidth="true" hidden="false" outlineLevel="0" max="7" min="7" style="0" width="3"/>
    <col collapsed="false" customWidth="true" hidden="false" outlineLevel="0" max="10" min="8" style="0" width="12"/>
    <col collapsed="false" customWidth="true" hidden="false" outlineLevel="0" max="11" min="11" style="0" width="3"/>
    <col collapsed="false" customWidth="true" hidden="false" outlineLevel="0" max="12" min="12" style="0" width="26"/>
    <col collapsed="false" customWidth="true" hidden="false" outlineLevel="0" max="13" min="13" style="0" width="10"/>
  </cols>
  <sheetData>
    <row r="2" customFormat="false" ht="19.7" hidden="false" customHeight="false" outlineLevel="0" collapsed="false">
      <c r="B2" s="1" t="s">
        <v>268</v>
      </c>
    </row>
    <row r="3" customFormat="false" ht="15" hidden="false" customHeight="false" outlineLevel="0" collapsed="false">
      <c r="B3" s="2" t="s">
        <v>269</v>
      </c>
      <c r="L3" s="50" t="str">
        <f aca="true">"Week "&amp;WEEKNUM(TODAY(),21)&amp;" · "&amp;TEXT(TODAY(),"ddd d mmm yyyy")</f>
        <v>Week 31 · Sun 2 Aug 2026</v>
      </c>
    </row>
    <row r="4" customFormat="false" ht="12.75" hidden="false" customHeight="true" outlineLevel="0" collapsed="false">
      <c r="B4" s="22" t="s">
        <v>62</v>
      </c>
      <c r="C4" s="2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</row>
    <row r="5" customFormat="false" ht="21.75" hidden="false" customHeight="true" outlineLevel="0" collapsed="false">
      <c r="B5" s="23" t="n">
        <f aca="false">'⚙️ Settings'!$D$40</f>
        <v>156.75</v>
      </c>
      <c r="C5" s="23" t="n">
        <f aca="false">MAX(0,'⚙️ Settings'!$D$11-SUMIFS('📅 Daily Tracker'!$F$10:$F$159,'📅 Daily Tracker'!$B$10:$B$159,"&gt;="&amp;'📆 Current Week'!$M$9,'📅 Daily Tracker'!$B$10:$B$159,"&lt;"&amp;('📆 Current Week'!$M$9+7)))</f>
        <v>168</v>
      </c>
      <c r="D5" s="24" t="n">
        <f aca="false">'⚙️ Settings'!$D$11</f>
        <v>168</v>
      </c>
      <c r="E5" s="25" t="n">
        <f aca="false">'⚙️ Settings'!$D$40*'⚙️ Settings'!$D$12</f>
        <v>627</v>
      </c>
      <c r="F5" s="25" t="n">
        <f aca="false">'⚙️ Settings'!$D$40*'⚙️ Settings'!$D$13</f>
        <v>8151</v>
      </c>
      <c r="G5" s="23" t="n">
        <f aca="false">'⚙️ Settings'!$D$42</f>
        <v>70.1666666666667</v>
      </c>
      <c r="H5" s="23" t="n">
        <f aca="false">'⚙️ Settings'!$D$41</f>
        <v>11.25</v>
      </c>
      <c r="I5" s="26" t="n">
        <f aca="false">'⚙️ Settings'!$D$40/'⚙️ Settings'!$D$11</f>
        <v>0.933035714285714</v>
      </c>
      <c r="J5" s="24" t="n">
        <f aca="false">ROUND(100*(('⚙️ Settings'!$D$17&gt;='⚙️ Settings'!$D$7*7*0.95)*('⚙️ Settings'!$D$17&lt;=63)+(('⚙️ Settings'!$D$18+'⚙️ Settings'!$D$19+'⚙️ Settings'!$D$20)&lt;=55)*1+('⚙️ Settings'!$D$24&gt;=3)*1+('⚙️ Settings'!$D$26&gt;=3)*1+(('⚙️ Settings'!$D$27+'⚙️ Settings'!$D$28)&gt;=2)*1+('⚙️ Settings'!$D$41&gt;=5)*1+('⚙️ Settings'!$D$41&gt;=0)*1)/7,0)</f>
        <v>100</v>
      </c>
    </row>
    <row r="6" customFormat="false" ht="15" hidden="false" customHeight="false" outlineLevel="0" collapsed="false">
      <c r="B6" s="27" t="str">
        <f aca="true">"⏱  Logged — today: "&amp;TEXT(SUMIFS('📅 Daily Tracker'!$F$10:$F$159,'📅 Daily Tracker'!$B$10:$B$159,TODAY()),"0.0")&amp;" h  ·  this week: "&amp;TEXT(SUMIFS('📅 Daily Tracker'!$F$10:$F$159,'📅 Daily Tracker'!$B$10:$B$159,"&gt;="&amp;'📆 Current Week'!$M$9,'📅 Daily Tracker'!$B$10:$B$159,"&lt;"&amp;('📆 Current Week'!$M$9+7)),"0.0")&amp;" h  ·  this month: "&amp;TEXT(SUMIFS('📅 Daily Tracker'!$F$10:$F$159,'📅 Daily Tracker'!$B$10:$B$159,"&gt;="&amp;EOMONTH(TODAY(),-1)+1,'📅 Daily Tracker'!$B$10:$B$159,"&lt;="&amp;EOMONTH(TODAY(),0)),"0.0")&amp;" h  ·  this year: "&amp;TEXT(SUMIFS('📅 Daily Tracker'!$F$10:$F$159,'📅 Daily Tracker'!$B$10:$B$159,"&gt;="&amp;DATE(YEAR(TODAY()),1,1)),"0.0")&amp;" h"</f>
        <v>⏱  Logged — today: 0.0 h  ·  this week: 0.0 h  ·  this month: 0.0 h  ·  this year: 0.0 h</v>
      </c>
      <c r="C6" s="27"/>
      <c r="D6" s="27"/>
      <c r="E6" s="27"/>
      <c r="F6" s="27"/>
      <c r="G6" s="27"/>
      <c r="H6" s="27"/>
      <c r="I6" s="27"/>
      <c r="J6" s="27"/>
    </row>
    <row r="8" customFormat="false" ht="21.75" hidden="false" customHeight="true" outlineLevel="0" collapsed="false">
      <c r="B8" s="3" t="s">
        <v>270</v>
      </c>
      <c r="C8" s="3"/>
      <c r="D8" s="3"/>
      <c r="E8" s="3"/>
      <c r="F8" s="3"/>
      <c r="L8" s="8" t="s">
        <v>271</v>
      </c>
      <c r="M8" s="9" t="s">
        <v>272</v>
      </c>
    </row>
    <row r="9" customFormat="false" ht="15" hidden="false" customHeight="false" outlineLevel="0" collapsed="false">
      <c r="B9" s="51" t="str">
        <f aca="false">IF(('⚙️ Settings'!$D$18+'⚙️ Settings'!$D$19+'⚙️ Settings'!$D$20)&gt;60,"🔴  Total work is over 60 h/week — burnout territory.",IF(('⚙️ Settings'!$D$18+'⚙️ Settings'!$D$19+'⚙️ Settings'!$D$20)&gt;55,"🟠  Total work is above 55 h/week — watch the load.","🟢  Work load is sustainable."))</f>
        <v>🟢  Work load is sustainable.</v>
      </c>
      <c r="C9" s="51"/>
      <c r="D9" s="51"/>
      <c r="E9" s="51"/>
      <c r="F9" s="51"/>
      <c r="L9" s="11" t="s">
        <v>273</v>
      </c>
      <c r="M9" s="14" t="n">
        <f aca="false">'⚙️ Settings'!D17</f>
        <v>57.1666666666667</v>
      </c>
    </row>
    <row r="10" customFormat="false" ht="15" hidden="false" customHeight="false" outlineLevel="0" collapsed="false">
      <c r="B10" s="51" t="str">
        <f aca="false">IF('⚙️ Settings'!$D$17&lt;'⚙️ Settings'!$D$7*7,"🔴  Sleep is below your nightly goal — recovery first.","🟢  Sleep is on target.")</f>
        <v>🟢  Sleep is on target.</v>
      </c>
      <c r="C10" s="51"/>
      <c r="D10" s="51"/>
      <c r="E10" s="51"/>
      <c r="F10" s="51"/>
      <c r="L10" s="11" t="s">
        <v>274</v>
      </c>
      <c r="M10" s="14" t="n">
        <f aca="false">'⚙️ Settings'!D18</f>
        <v>23</v>
      </c>
    </row>
    <row r="11" customFormat="false" ht="15" hidden="false" customHeight="false" outlineLevel="0" collapsed="false">
      <c r="B11" s="51" t="str">
        <f aca="false">IF('⚙️ Settings'!$D$24&lt;3,"🟡  Fitness is under 3 h/week — schedule workouts first.","🟢  Fitness habit is funded.")</f>
        <v>🟢  Fitness habit is funded.</v>
      </c>
      <c r="C11" s="51"/>
      <c r="D11" s="51"/>
      <c r="E11" s="51"/>
      <c r="F11" s="51"/>
      <c r="L11" s="11" t="s">
        <v>275</v>
      </c>
      <c r="M11" s="14" t="n">
        <f aca="false">'⚙️ Settings'!D19</f>
        <v>12</v>
      </c>
    </row>
    <row r="12" customFormat="false" ht="15" hidden="false" customHeight="false" outlineLevel="0" collapsed="false">
      <c r="B12" s="51" t="str">
        <f aca="false">IF('⚙️ Settings'!$D$41&lt;0,"🔴  You allocated MORE than 168 hours — something must give.",IF('⚙️ Settings'!$D$41&lt;5,"🟡  Under 5 h of free time — build in slack.","🟢  Healthy buffer of free time."))</f>
        <v>🟢  Healthy buffer of free time.</v>
      </c>
      <c r="C12" s="51"/>
      <c r="D12" s="51"/>
      <c r="E12" s="51"/>
      <c r="F12" s="51"/>
      <c r="L12" s="11" t="s">
        <v>276</v>
      </c>
      <c r="M12" s="14" t="n">
        <f aca="false">'⚙️ Settings'!D20</f>
        <v>5</v>
      </c>
    </row>
    <row r="13" customFormat="false" ht="15" hidden="false" customHeight="false" outlineLevel="0" collapsed="false">
      <c r="B13" s="51" t="str">
        <f aca="false">IF('⚙️ Settings'!$D$19&lt;5,"🟡  Deep work is under 5 h/week — protect focus blocks.","🟢  Deep-work practice is funded.")</f>
        <v>🟢  Deep-work practice is funded.</v>
      </c>
      <c r="C13" s="51"/>
      <c r="D13" s="51"/>
      <c r="E13" s="51"/>
      <c r="F13" s="51"/>
      <c r="L13" s="11" t="s">
        <v>277</v>
      </c>
      <c r="M13" s="14" t="n">
        <f aca="false">'⚙️ Settings'!D21</f>
        <v>5.91666666666667</v>
      </c>
    </row>
    <row r="14" customFormat="false" ht="15" hidden="false" customHeight="false" outlineLevel="0" collapsed="false">
      <c r="L14" s="11" t="s">
        <v>278</v>
      </c>
      <c r="M14" s="14" t="n">
        <f aca="false">'⚙️ Settings'!D22</f>
        <v>4</v>
      </c>
    </row>
    <row r="15" customFormat="false" ht="21.75" hidden="false" customHeight="true" outlineLevel="0" collapsed="false">
      <c r="B15" s="3" t="s">
        <v>279</v>
      </c>
      <c r="C15" s="3"/>
      <c r="D15" s="3"/>
      <c r="E15" s="3"/>
      <c r="F15" s="3"/>
      <c r="L15" s="11" t="s">
        <v>280</v>
      </c>
      <c r="M15" s="14" t="n">
        <f aca="false">'⚙️ Settings'!D23</f>
        <v>0</v>
      </c>
    </row>
    <row r="16" customFormat="false" ht="15" hidden="false" customHeight="false" outlineLevel="0" collapsed="false">
      <c r="B16" s="8" t="s">
        <v>281</v>
      </c>
      <c r="C16" s="9" t="s">
        <v>282</v>
      </c>
      <c r="D16" s="9" t="s">
        <v>283</v>
      </c>
      <c r="E16" s="9" t="s">
        <v>284</v>
      </c>
      <c r="F16" s="9"/>
      <c r="L16" s="11" t="s">
        <v>285</v>
      </c>
      <c r="M16" s="14" t="n">
        <f aca="false">'⚙️ Settings'!D24</f>
        <v>10</v>
      </c>
    </row>
    <row r="17" customFormat="false" ht="15" hidden="false" customHeight="false" outlineLevel="0" collapsed="false">
      <c r="B17" s="39" t="s">
        <v>59</v>
      </c>
      <c r="C17" s="12" t="n">
        <f aca="false">'⚙️ Settings'!$D$42</f>
        <v>70.1666666666667</v>
      </c>
      <c r="D17" s="52" t="n">
        <f aca="false">'⚙️ Settings'!$D$8</f>
        <v>45</v>
      </c>
      <c r="E17" s="46" t="n">
        <f aca="false">'⚙️ Settings'!$D$42/'⚙️ Settings'!$D$8</f>
        <v>1.55925925925926</v>
      </c>
      <c r="F17" s="11"/>
      <c r="L17" s="11" t="s">
        <v>286</v>
      </c>
      <c r="M17" s="14" t="n">
        <f aca="false">'⚙️ Settings'!D25</f>
        <v>12</v>
      </c>
    </row>
    <row r="18" customFormat="false" ht="15" hidden="false" customHeight="false" outlineLevel="0" collapsed="false">
      <c r="B18" s="39" t="s">
        <v>287</v>
      </c>
      <c r="C18" s="12" t="n">
        <f aca="false">'⚙️ Settings'!$D$17</f>
        <v>57.1666666666667</v>
      </c>
      <c r="D18" s="52" t="n">
        <f aca="false">'⚙️ Settings'!$D$7*7</f>
        <v>52.5</v>
      </c>
      <c r="E18" s="46" t="n">
        <f aca="false">'⚙️ Settings'!$D$17/('⚙️ Settings'!$D$7*7)</f>
        <v>1.08888888888889</v>
      </c>
      <c r="F18" s="11"/>
      <c r="L18" s="11" t="s">
        <v>288</v>
      </c>
      <c r="M18" s="14" t="n">
        <f aca="false">'⚙️ Settings'!D26</f>
        <v>6</v>
      </c>
    </row>
    <row r="19" customFormat="false" ht="15" hidden="false" customHeight="false" outlineLevel="0" collapsed="false">
      <c r="B19" s="39" t="s">
        <v>289</v>
      </c>
      <c r="C19" s="12" t="n">
        <f aca="false">MAX(0,'⚙️ Settings'!$D$41)</f>
        <v>11.25</v>
      </c>
      <c r="D19" s="52" t="n">
        <v>5</v>
      </c>
      <c r="E19" s="46" t="n">
        <f aca="false">MAX(0,'⚙️ Settings'!$D$41)/5</f>
        <v>2.25</v>
      </c>
      <c r="F19" s="11"/>
      <c r="L19" s="11" t="s">
        <v>290</v>
      </c>
      <c r="M19" s="14" t="n">
        <f aca="false">'⚙️ Settings'!D27</f>
        <v>4.33333333333333</v>
      </c>
    </row>
    <row r="20" customFormat="false" ht="15" hidden="false" customHeight="false" outlineLevel="0" collapsed="false">
      <c r="L20" s="11" t="s">
        <v>291</v>
      </c>
      <c r="M20" s="14" t="n">
        <f aca="false">'⚙️ Settings'!D28</f>
        <v>3.33333333333333</v>
      </c>
    </row>
    <row r="21" customFormat="false" ht="21.75" hidden="false" customHeight="true" outlineLevel="0" collapsed="false">
      <c r="B21" s="3" t="s">
        <v>292</v>
      </c>
      <c r="C21" s="3"/>
      <c r="D21" s="3"/>
      <c r="E21" s="3"/>
      <c r="F21" s="3"/>
      <c r="L21" s="11" t="s">
        <v>293</v>
      </c>
      <c r="M21" s="14" t="n">
        <f aca="false">'⚙️ Settings'!D29</f>
        <v>0</v>
      </c>
    </row>
    <row r="22" customFormat="false" ht="15" hidden="false" customHeight="false" outlineLevel="0" collapsed="false">
      <c r="B22" s="53" t="s">
        <v>294</v>
      </c>
      <c r="C22" s="53" t="s">
        <v>295</v>
      </c>
      <c r="D22" s="53" t="s">
        <v>296</v>
      </c>
      <c r="E22" s="53" t="s">
        <v>297</v>
      </c>
      <c r="L22" s="11" t="s">
        <v>298</v>
      </c>
      <c r="M22" s="14" t="n">
        <f aca="false">'⚙️ Settings'!D30</f>
        <v>1.5</v>
      </c>
    </row>
    <row r="23" customFormat="false" ht="15" hidden="false" customHeight="false" outlineLevel="0" collapsed="false">
      <c r="B23" s="21" t="n">
        <f aca="false">SUMIFS('📅 Daily Tracker'!$F$10:$F$159,'📅 Daily Tracker'!$B$10:$B$159,"&gt;="&amp;('📆 Current Week'!$M$9-21),'📅 Daily Tracker'!$B$10:$B$159,"&lt;"&amp;('📆 Current Week'!$M$9-21+7))</f>
        <v>0</v>
      </c>
      <c r="C23" s="21" t="n">
        <f aca="false">SUMIFS('📅 Daily Tracker'!$F$10:$F$159,'📅 Daily Tracker'!$B$10:$B$159,"&gt;="&amp;('📆 Current Week'!$M$9-14),'📅 Daily Tracker'!$B$10:$B$159,"&lt;"&amp;('📆 Current Week'!$M$9-14+7))</f>
        <v>0</v>
      </c>
      <c r="D23" s="21" t="n">
        <f aca="false">SUMIFS('📅 Daily Tracker'!$F$10:$F$159,'📅 Daily Tracker'!$B$10:$B$159,"&gt;="&amp;('📆 Current Week'!$M$9-7),'📅 Daily Tracker'!$B$10:$B$159,"&lt;"&amp;('📆 Current Week'!$M$9-7+7))</f>
        <v>0</v>
      </c>
      <c r="E23" s="21" t="n">
        <f aca="false">SUMIFS('📅 Daily Tracker'!$F$10:$F$159,'📅 Daily Tracker'!$B$10:$B$159,"&gt;="&amp;('📆 Current Week'!$M$9-0),'📅 Daily Tracker'!$B$10:$B$159,"&lt;"&amp;('📆 Current Week'!$M$9-0+7))</f>
        <v>0</v>
      </c>
      <c r="L23" s="11" t="s">
        <v>299</v>
      </c>
      <c r="M23" s="14" t="n">
        <f aca="false">'⚙️ Settings'!D31</f>
        <v>2.5</v>
      </c>
    </row>
    <row r="24" customFormat="false" ht="15" hidden="false" customHeight="false" outlineLevel="0" collapsed="false">
      <c r="L24" s="11" t="s">
        <v>300</v>
      </c>
      <c r="M24" s="14" t="n">
        <f aca="false">'⚙️ Settings'!D32</f>
        <v>4</v>
      </c>
    </row>
    <row r="25" customFormat="false" ht="21.75" hidden="false" customHeight="true" outlineLevel="0" collapsed="false">
      <c r="B25" s="3" t="s">
        <v>301</v>
      </c>
      <c r="C25" s="3"/>
      <c r="D25" s="3"/>
      <c r="E25" s="3"/>
      <c r="F25" s="3"/>
      <c r="L25" s="11" t="s">
        <v>302</v>
      </c>
      <c r="M25" s="14" t="n">
        <f aca="false">'⚙️ Settings'!D33</f>
        <v>6</v>
      </c>
    </row>
    <row r="26" customFormat="false" ht="15" hidden="false" customHeight="false" outlineLevel="0" collapsed="false">
      <c r="B26" s="4" t="str">
        <f aca="false">"🏆  Largest planned investment: "&amp;INDEX('⚙️ Settings'!$C$17:$C$38,MATCH(MAX('⚙️ Settings'!$D$17:$D$38),'⚙️ Settings'!$D$17:$D$38,0))&amp;"  ("&amp;TEXT(MAX('⚙️ Settings'!$D$17:$D$38),"0.0")&amp;" h/week)"</f>
        <v>🏆  Largest planned investment: Sleep  (57.2 h/week)</v>
      </c>
      <c r="C26" s="4"/>
      <c r="D26" s="4"/>
      <c r="E26" s="4"/>
      <c r="F26" s="4"/>
      <c r="L26" s="54" t="s">
        <v>303</v>
      </c>
      <c r="M26" s="55" t="n">
        <f aca="false">MAX(0,'⚙️ Settings'!$D$41)</f>
        <v>11.25</v>
      </c>
    </row>
    <row r="27" customFormat="false" ht="15" hidden="false" customHeight="false" outlineLevel="0" collapsed="false">
      <c r="B27" s="4" t="str">
        <f aca="false">IF(SUM('📆 Current Week'!$F$12:$F$33)=0,"📅  Log your first day on the Daily Tracker to unlock live insights.",IF(MAX('📆 Current Week'!$G$12:$G$33)&lt;=0,"✅  No category is over plan this week.","🔺  Most over plan this week: "&amp;INDEX('⚙️ Settings'!$C$17:$C$38,MATCH(MAX('📆 Current Week'!$G$12:$G$33),'📆 Current Week'!$G$12:$G$33,0))&amp;"  (+"&amp;TEXT(MAX('📆 Current Week'!$G$12:$G$33),"0.0")&amp;" h)"))</f>
        <v>📅  Log your first day on the Daily Tracker to unlock live insights.</v>
      </c>
      <c r="C27" s="4"/>
      <c r="D27" s="4"/>
      <c r="E27" s="4"/>
      <c r="F27" s="4"/>
      <c r="L27" s="39" t="str">
        <f aca="false">IF('⚙️ Settings'!C34="","",'⚙️ Settings'!B34&amp;"  "&amp;'⚙️ Settings'!C34)</f>
        <v/>
      </c>
      <c r="M27" s="52" t="str">
        <f aca="false">IF('⚙️ Settings'!C34="","",'⚙️ Settings'!D34)</f>
        <v/>
      </c>
    </row>
    <row r="28" customFormat="false" ht="15" hidden="false" customHeight="false" outlineLevel="0" collapsed="false">
      <c r="B28" s="4" t="str">
        <f aca="false">IF(SUM('📆 Current Week'!$F$12:$F$33)=0,"","🔻  Most behind plan this week: "&amp;INDEX('⚙️ Settings'!$C$17:$C$38,MATCH(MIN('📆 Current Week'!$G$12:$G$33),'📆 Current Week'!$G$12:$G$33,0))&amp;"  ("&amp;TEXT(MIN('📆 Current Week'!$G$12:$G$33),"0.0")&amp;" h)")</f>
        <v/>
      </c>
      <c r="C28" s="4"/>
      <c r="D28" s="4"/>
      <c r="E28" s="4"/>
      <c r="F28" s="4"/>
      <c r="L28" s="39" t="str">
        <f aca="false">IF('⚙️ Settings'!C35="","",'⚙️ Settings'!B35&amp;"  "&amp;'⚙️ Settings'!C35)</f>
        <v/>
      </c>
      <c r="M28" s="52" t="str">
        <f aca="false">IF('⚙️ Settings'!C35="","",'⚙️ Settings'!D35)</f>
        <v/>
      </c>
    </row>
    <row r="29" customFormat="false" ht="15" hidden="false" customHeight="false" outlineLevel="0" collapsed="false">
      <c r="L29" s="39" t="str">
        <f aca="false">IF('⚙️ Settings'!C36="","",'⚙️ Settings'!B36&amp;"  "&amp;'⚙️ Settings'!C36)</f>
        <v/>
      </c>
      <c r="M29" s="52" t="str">
        <f aca="false">IF('⚙️ Settings'!C36="","",'⚙️ Settings'!D36)</f>
        <v/>
      </c>
    </row>
    <row r="30" customFormat="false" ht="15" hidden="false" customHeight="false" outlineLevel="0" collapsed="false">
      <c r="L30" s="39" t="str">
        <f aca="false">IF('⚙️ Settings'!C37="","",'⚙️ Settings'!B37&amp;"  "&amp;'⚙️ Settings'!C37)</f>
        <v/>
      </c>
      <c r="M30" s="52" t="str">
        <f aca="false">IF('⚙️ Settings'!C37="","",'⚙️ Settings'!D37)</f>
        <v/>
      </c>
    </row>
    <row r="31" customFormat="false" ht="15" hidden="false" customHeight="false" outlineLevel="0" collapsed="false">
      <c r="L31" s="39" t="str">
        <f aca="false">IF('⚙️ Settings'!C38="","",'⚙️ Settings'!B38&amp;"  "&amp;'⚙️ Settings'!C38)</f>
        <v/>
      </c>
      <c r="M31" s="52" t="str">
        <f aca="false">IF('⚙️ Settings'!C38="","",'⚙️ Settings'!D38)</f>
        <v/>
      </c>
    </row>
    <row r="32" customFormat="false" ht="15" hidden="false" customHeight="false" outlineLevel="0" collapsed="false">
      <c r="L32" s="56" t="s">
        <v>304</v>
      </c>
      <c r="M32" s="57" t="n">
        <f aca="false">'⚙️ Settings'!$D$40</f>
        <v>156.75</v>
      </c>
    </row>
  </sheetData>
  <mergeCells count="13">
    <mergeCell ref="B6:J6"/>
    <mergeCell ref="B8:F8"/>
    <mergeCell ref="B9:F9"/>
    <mergeCell ref="B10:F10"/>
    <mergeCell ref="B11:F11"/>
    <mergeCell ref="B12:F12"/>
    <mergeCell ref="B13:F13"/>
    <mergeCell ref="B15:F15"/>
    <mergeCell ref="B21:F21"/>
    <mergeCell ref="B25:F25"/>
    <mergeCell ref="B26:F26"/>
    <mergeCell ref="B27:F27"/>
    <mergeCell ref="B28:F28"/>
  </mergeCells>
  <conditionalFormatting sqref="J5">
    <cfRule type="expression" priority="2" aboveAverage="0" equalAverage="0" bottom="0" percent="0" rank="0" text="" dxfId="2">
      <formula>J5&gt;=80</formula>
    </cfRule>
    <cfRule type="expression" priority="3" aboveAverage="0" equalAverage="0" bottom="0" percent="0" rank="0" text="" dxfId="3">
      <formula>J5&lt;60</formula>
    </cfRule>
  </conditionalFormatting>
  <conditionalFormatting sqref="E17:E19">
    <cfRule type="dataBar" priority="4">
      <dataBar showValue="1" minLength="10" maxLength="90">
        <cfvo type="num" val="0"/>
        <cfvo type="num" val="1.5"/>
        <color rgb="FF2BB5AE"/>
      </dataBar>
      <extLst>
        <ext xmlns:x14="http://schemas.microsoft.com/office/spreadsheetml/2009/9/main" uri="{B025F937-C7B1-47D3-B67F-A62EFF666E3E}">
          <x14:id>{FEF95063-A1F4-456B-991F-30A95F4FC61D}</x14:id>
        </ext>
      </extLst>
    </cfRule>
  </conditionalFormatting>
  <conditionalFormatting sqref="B23:E23">
    <cfRule type="dataBar" priority="5">
      <dataBar showValue="1" minLength="10" maxLength="90">
        <cfvo type="num" val="0"/>
        <cfvo type="num" val="168"/>
        <color rgb="FF2BB5AE"/>
      </dataBar>
      <extLst>
        <ext xmlns:x14="http://schemas.microsoft.com/office/spreadsheetml/2009/9/main" uri="{B025F937-C7B1-47D3-B67F-A62EFF666E3E}">
          <x14:id>{F1DDDF7D-2FA0-45FA-A047-CCB4A14EEC5B}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95063-A1F4-456B-991F-30A95F4FC61D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2BB5AE"/>
              <x14:axisColor rgb="FF000000"/>
            </x14:dataBar>
          </x14:cfRule>
          <xm:sqref>E17:E19</xm:sqref>
        </x14:conditionalFormatting>
        <x14:conditionalFormatting xmlns:xm="http://schemas.microsoft.com/office/excel/2006/main">
          <x14:cfRule type="dataBar" id="{F1DDDF7D-2FA0-45FA-A047-CCB4A14EEC5B}">
            <x14:dataBar minLength="10" maxLength="90" axisPosition="none" gradient="true">
              <x14:cfvo type="num">
                <xm:f>0</xm:f>
              </x14:cfvo>
              <x14:cfvo type="num">
                <xm:f>168</xm:f>
              </x14:cfvo>
              <x14:negativeFillColor rgb="FF2BB5AE"/>
              <x14:axisColor rgb="FF000000"/>
            </x14:dataBar>
          </x14:cfRule>
          <xm:sqref>B23:E23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7B7"/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305</v>
      </c>
    </row>
    <row r="4" customFormat="false" ht="21.75" hidden="false" customHeight="true" outlineLevel="0" collapsed="false">
      <c r="B4" s="3" t="s">
        <v>306</v>
      </c>
      <c r="C4" s="3"/>
    </row>
    <row r="5" customFormat="false" ht="45" hidden="false" customHeight="true" outlineLevel="0" collapsed="false">
      <c r="C5" s="58" t="s">
        <v>307</v>
      </c>
    </row>
    <row r="6" customFormat="false" ht="30" hidden="false" customHeight="true" outlineLevel="0" collapsed="false">
      <c r="C6" s="58" t="s">
        <v>308</v>
      </c>
    </row>
    <row r="8" customFormat="false" ht="21.75" hidden="false" customHeight="true" outlineLevel="0" collapsed="false">
      <c r="B8" s="3" t="s">
        <v>309</v>
      </c>
      <c r="C8" s="3"/>
    </row>
    <row r="9" customFormat="false" ht="15.75" hidden="false" customHeight="true" outlineLevel="0" collapsed="false">
      <c r="C9" s="58" t="s">
        <v>310</v>
      </c>
    </row>
    <row r="11" customFormat="false" ht="21.75" hidden="false" customHeight="true" outlineLevel="0" collapsed="false">
      <c r="B11" s="3" t="s">
        <v>311</v>
      </c>
      <c r="C11" s="3"/>
    </row>
    <row r="12" customFormat="false" ht="15.75" hidden="false" customHeight="true" outlineLevel="0" collapsed="false">
      <c r="C12" s="58" t="s">
        <v>312</v>
      </c>
    </row>
    <row r="13" customFormat="false" ht="30" hidden="false" customHeight="true" outlineLevel="0" collapsed="false">
      <c r="C13" s="58" t="s">
        <v>313</v>
      </c>
    </row>
    <row r="14" customFormat="false" ht="30" hidden="false" customHeight="true" outlineLevel="0" collapsed="false">
      <c r="C14" s="58" t="s">
        <v>314</v>
      </c>
    </row>
    <row r="15" customFormat="false" ht="15.75" hidden="false" customHeight="true" outlineLevel="0" collapsed="false">
      <c r="C15" s="58" t="s">
        <v>315</v>
      </c>
    </row>
    <row r="17" customFormat="false" ht="21.75" hidden="false" customHeight="true" outlineLevel="0" collapsed="false">
      <c r="B17" s="3" t="s">
        <v>316</v>
      </c>
      <c r="C17" s="3"/>
    </row>
    <row r="18" customFormat="false" ht="15.75" hidden="false" customHeight="true" outlineLevel="0" collapsed="false">
      <c r="C18" s="58" t="s">
        <v>317</v>
      </c>
    </row>
    <row r="19" customFormat="false" ht="15.75" hidden="false" customHeight="true" outlineLevel="0" collapsed="false">
      <c r="C19" s="58" t="s">
        <v>318</v>
      </c>
    </row>
    <row r="21" customFormat="false" ht="21.75" hidden="false" customHeight="true" outlineLevel="0" collapsed="false">
      <c r="B21" s="3" t="s">
        <v>319</v>
      </c>
      <c r="C21" s="3"/>
    </row>
    <row r="22" customFormat="false" ht="45" hidden="false" customHeight="true" outlineLevel="0" collapsed="false">
      <c r="C22" s="58" t="s">
        <v>320</v>
      </c>
    </row>
    <row r="24" customFormat="false" ht="21.75" hidden="false" customHeight="true" outlineLevel="0" collapsed="false">
      <c r="B24" s="3" t="s">
        <v>321</v>
      </c>
      <c r="C24" s="3"/>
    </row>
    <row r="25" customFormat="false" ht="30" hidden="false" customHeight="true" outlineLevel="0" collapsed="false">
      <c r="C25" s="58" t="s">
        <v>322</v>
      </c>
    </row>
    <row r="26" customFormat="false" ht="30" hidden="false" customHeight="true" outlineLevel="0" collapsed="false">
      <c r="C26" s="58" t="s">
        <v>323</v>
      </c>
    </row>
  </sheetData>
  <mergeCells count="6">
    <mergeCell ref="B4:C4"/>
    <mergeCell ref="B8:C8"/>
    <mergeCell ref="B11:C11"/>
    <mergeCell ref="B17:C17"/>
    <mergeCell ref="B21:C21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2026-08-02T12:50:44Z</dcterms:created>
  <dc:creator>openpyxl</dc:creator>
  <dc:description/>
  <dc:language>en-US</dc:language>
  <cp:lastModifiedBy/>
  <dcterms:modified xsi:type="dcterms:W3CDTF">2026-08-02T12:50:57Z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